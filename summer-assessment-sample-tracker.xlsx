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ster" sheetId="1" state="visible" r:id="rId3"/>
    <sheet name="Summary" sheetId="2" state="visible" r:id="rId4"/>
    <sheet name="Follow-up List" sheetId="3" state="visible" r:id="rId5"/>
  </sheets>
  <definedNames>
    <definedName function="false" hidden="true" localSheetId="0" name="_xlnm._FilterDatabase" vbProcedure="false">Roster!$A$2:$I$149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<sst xmlns="http://schemas.openxmlformats.org/spreadsheetml/2006/main" count="858" uniqueCount="194">
  <si>
    <t xml:space="preserve">Sample roster tracker. All families and dates are fictional. Edit the blue columns; Status and Follow-up # are formulas.</t>
  </si>
  <si>
    <t xml:space="preserve">Family ID</t>
  </si>
  <si>
    <t xml:space="preserve">Testing Week</t>
  </si>
  <si>
    <t xml:space="preserve">Preferred Language</t>
  </si>
  <si>
    <t xml:space="preserve">Confirmed Date</t>
  </si>
  <si>
    <t xml:space="preserve">Confirmation Email Sent</t>
  </si>
  <si>
    <t xml:space="preserve">Contact Method</t>
  </si>
  <si>
    <t xml:space="preserve">Notes</t>
  </si>
  <si>
    <t xml:space="preserve">Status</t>
  </si>
  <si>
    <t xml:space="preserve">Follow-up #</t>
  </si>
  <si>
    <t xml:space="preserve">F-001</t>
  </si>
  <si>
    <t xml:space="preserve">Week 3</t>
  </si>
  <si>
    <t xml:space="preserve">English</t>
  </si>
  <si>
    <t xml:space="preserve">Yes</t>
  </si>
  <si>
    <t xml:space="preserve">Email</t>
  </si>
  <si>
    <t xml:space="preserve">Confirmed by email</t>
  </si>
  <si>
    <t xml:space="preserve">F-002</t>
  </si>
  <si>
    <t xml:space="preserve">Week 2</t>
  </si>
  <si>
    <t xml:space="preserve">Spanish</t>
  </si>
  <si>
    <t xml:space="preserve">Prefers morning slot</t>
  </si>
  <si>
    <t xml:space="preserve">F-003</t>
  </si>
  <si>
    <t xml:space="preserve">Week 1</t>
  </si>
  <si>
    <t xml:space="preserve">Sibling testing same day</t>
  </si>
  <si>
    <t xml:space="preserve">F-004</t>
  </si>
  <si>
    <t xml:space="preserve">Phone</t>
  </si>
  <si>
    <t xml:space="preserve">F-005</t>
  </si>
  <si>
    <t xml:space="preserve">Left voicemail</t>
  </si>
  <si>
    <t xml:space="preserve">F-006</t>
  </si>
  <si>
    <t xml:space="preserve">No</t>
  </si>
  <si>
    <t xml:space="preserve">Email bounced, calling</t>
  </si>
  <si>
    <t xml:space="preserve">F-007</t>
  </si>
  <si>
    <t xml:space="preserve">F-008</t>
  </si>
  <si>
    <t xml:space="preserve">F-009</t>
  </si>
  <si>
    <t xml:space="preserve">F-010</t>
  </si>
  <si>
    <t xml:space="preserve">F-011</t>
  </si>
  <si>
    <t xml:space="preserve">F-012</t>
  </si>
  <si>
    <t xml:space="preserve">F-013</t>
  </si>
  <si>
    <t xml:space="preserve">Portuguese</t>
  </si>
  <si>
    <t xml:space="preserve">F-014</t>
  </si>
  <si>
    <t xml:space="preserve">F-015</t>
  </si>
  <si>
    <t xml:space="preserve">F-016</t>
  </si>
  <si>
    <t xml:space="preserve">F-017</t>
  </si>
  <si>
    <t xml:space="preserve">F-018</t>
  </si>
  <si>
    <t xml:space="preserve">F-019</t>
  </si>
  <si>
    <t xml:space="preserve">F-020</t>
  </si>
  <si>
    <t xml:space="preserve">F-021</t>
  </si>
  <si>
    <t xml:space="preserve">F-022</t>
  </si>
  <si>
    <t xml:space="preserve">F-023</t>
  </si>
  <si>
    <t xml:space="preserve">F-024</t>
  </si>
  <si>
    <t xml:space="preserve">Confirmed by phone</t>
  </si>
  <si>
    <t xml:space="preserve">F-025</t>
  </si>
  <si>
    <t xml:space="preserve">F-026</t>
  </si>
  <si>
    <t xml:space="preserve">F-027</t>
  </si>
  <si>
    <t xml:space="preserve">F-028</t>
  </si>
  <si>
    <t xml:space="preserve">F-029</t>
  </si>
  <si>
    <t xml:space="preserve">F-030</t>
  </si>
  <si>
    <t xml:space="preserve">Arabic</t>
  </si>
  <si>
    <t xml:space="preserve">F-031</t>
  </si>
  <si>
    <t xml:space="preserve">F-032</t>
  </si>
  <si>
    <t xml:space="preserve">F-033</t>
  </si>
  <si>
    <t xml:space="preserve">F-034</t>
  </si>
  <si>
    <t xml:space="preserve">F-035</t>
  </si>
  <si>
    <t xml:space="preserve">F-036</t>
  </si>
  <si>
    <t xml:space="preserve">Text sent</t>
  </si>
  <si>
    <t xml:space="preserve">F-037</t>
  </si>
  <si>
    <t xml:space="preserve">F-038</t>
  </si>
  <si>
    <t xml:space="preserve">F-039</t>
  </si>
  <si>
    <t xml:space="preserve">F-040</t>
  </si>
  <si>
    <t xml:space="preserve">F-041</t>
  </si>
  <si>
    <t xml:space="preserve">F-042</t>
  </si>
  <si>
    <t xml:space="preserve">F-043</t>
  </si>
  <si>
    <t xml:space="preserve">No reply after 2 emails</t>
  </si>
  <si>
    <t xml:space="preserve">F-044</t>
  </si>
  <si>
    <t xml:space="preserve">F-045</t>
  </si>
  <si>
    <t xml:space="preserve">F-046</t>
  </si>
  <si>
    <t xml:space="preserve">F-047</t>
  </si>
  <si>
    <t xml:space="preserve">F-048</t>
  </si>
  <si>
    <t xml:space="preserve">F-049</t>
  </si>
  <si>
    <t xml:space="preserve">F-050</t>
  </si>
  <si>
    <t xml:space="preserve">F-051</t>
  </si>
  <si>
    <t xml:space="preserve">F-052</t>
  </si>
  <si>
    <t xml:space="preserve">F-053</t>
  </si>
  <si>
    <t xml:space="preserve">F-054</t>
  </si>
  <si>
    <t xml:space="preserve">F-055</t>
  </si>
  <si>
    <t xml:space="preserve">F-056</t>
  </si>
  <si>
    <t xml:space="preserve">F-057</t>
  </si>
  <si>
    <t xml:space="preserve">F-058</t>
  </si>
  <si>
    <t xml:space="preserve">F-059</t>
  </si>
  <si>
    <t xml:space="preserve">F-060</t>
  </si>
  <si>
    <t xml:space="preserve">F-061</t>
  </si>
  <si>
    <t xml:space="preserve">F-062</t>
  </si>
  <si>
    <t xml:space="preserve">F-063</t>
  </si>
  <si>
    <t xml:space="preserve">F-064</t>
  </si>
  <si>
    <t xml:space="preserve">F-065</t>
  </si>
  <si>
    <t xml:space="preserve">F-066</t>
  </si>
  <si>
    <t xml:space="preserve">F-067</t>
  </si>
  <si>
    <t xml:space="preserve">F-068</t>
  </si>
  <si>
    <t xml:space="preserve">F-069</t>
  </si>
  <si>
    <t xml:space="preserve">F-070</t>
  </si>
  <si>
    <t xml:space="preserve">F-071</t>
  </si>
  <si>
    <t xml:space="preserve">F-072</t>
  </si>
  <si>
    <t xml:space="preserve">F-073</t>
  </si>
  <si>
    <t xml:space="preserve">F-074</t>
  </si>
  <si>
    <t xml:space="preserve">F-075</t>
  </si>
  <si>
    <t xml:space="preserve">F-076</t>
  </si>
  <si>
    <t xml:space="preserve">F-077</t>
  </si>
  <si>
    <t xml:space="preserve">F-078</t>
  </si>
  <si>
    <t xml:space="preserve">F-079</t>
  </si>
  <si>
    <t xml:space="preserve">F-080</t>
  </si>
  <si>
    <t xml:space="preserve">F-081</t>
  </si>
  <si>
    <t xml:space="preserve">F-082</t>
  </si>
  <si>
    <t xml:space="preserve">F-083</t>
  </si>
  <si>
    <t xml:space="preserve">F-084</t>
  </si>
  <si>
    <t xml:space="preserve">F-085</t>
  </si>
  <si>
    <t xml:space="preserve">F-086</t>
  </si>
  <si>
    <t xml:space="preserve">F-087</t>
  </si>
  <si>
    <t xml:space="preserve">F-088</t>
  </si>
  <si>
    <t xml:space="preserve">F-089</t>
  </si>
  <si>
    <t xml:space="preserve">F-090</t>
  </si>
  <si>
    <t xml:space="preserve">F-091</t>
  </si>
  <si>
    <t xml:space="preserve">F-092</t>
  </si>
  <si>
    <t xml:space="preserve">F-093</t>
  </si>
  <si>
    <t xml:space="preserve">F-094</t>
  </si>
  <si>
    <t xml:space="preserve">F-095</t>
  </si>
  <si>
    <t xml:space="preserve">F-096</t>
  </si>
  <si>
    <t xml:space="preserve">F-097</t>
  </si>
  <si>
    <t xml:space="preserve">F-098</t>
  </si>
  <si>
    <t xml:space="preserve">F-099</t>
  </si>
  <si>
    <t xml:space="preserve">F-100</t>
  </si>
  <si>
    <t xml:space="preserve">F-101</t>
  </si>
  <si>
    <t xml:space="preserve">F-102</t>
  </si>
  <si>
    <t xml:space="preserve">F-103</t>
  </si>
  <si>
    <t xml:space="preserve">F-104</t>
  </si>
  <si>
    <t xml:space="preserve">F-105</t>
  </si>
  <si>
    <t xml:space="preserve">F-106</t>
  </si>
  <si>
    <t xml:space="preserve">F-107</t>
  </si>
  <si>
    <t xml:space="preserve">Call back after 3pm</t>
  </si>
  <si>
    <t xml:space="preserve">F-108</t>
  </si>
  <si>
    <t xml:space="preserve">F-109</t>
  </si>
  <si>
    <t xml:space="preserve">F-110</t>
  </si>
  <si>
    <t xml:space="preserve">F-111</t>
  </si>
  <si>
    <t xml:space="preserve">F-112</t>
  </si>
  <si>
    <t xml:space="preserve">F-113</t>
  </si>
  <si>
    <t xml:space="preserve">F-114</t>
  </si>
  <si>
    <t xml:space="preserve">F-115</t>
  </si>
  <si>
    <t xml:space="preserve">F-116</t>
  </si>
  <si>
    <t xml:space="preserve">F-117</t>
  </si>
  <si>
    <t xml:space="preserve">F-118</t>
  </si>
  <si>
    <t xml:space="preserve">F-119</t>
  </si>
  <si>
    <t xml:space="preserve">F-120</t>
  </si>
  <si>
    <t xml:space="preserve">F-121</t>
  </si>
  <si>
    <t xml:space="preserve">F-122</t>
  </si>
  <si>
    <t xml:space="preserve">F-123</t>
  </si>
  <si>
    <t xml:space="preserve">F-124</t>
  </si>
  <si>
    <t xml:space="preserve">F-125</t>
  </si>
  <si>
    <t xml:space="preserve">F-126</t>
  </si>
  <si>
    <t xml:space="preserve">F-127</t>
  </si>
  <si>
    <t xml:space="preserve">F-128</t>
  </si>
  <si>
    <t xml:space="preserve">F-129</t>
  </si>
  <si>
    <t xml:space="preserve">F-130</t>
  </si>
  <si>
    <t xml:space="preserve">F-131</t>
  </si>
  <si>
    <t xml:space="preserve">F-132</t>
  </si>
  <si>
    <t xml:space="preserve">F-133</t>
  </si>
  <si>
    <t xml:space="preserve">F-134</t>
  </si>
  <si>
    <t xml:space="preserve">F-135</t>
  </si>
  <si>
    <t xml:space="preserve">F-136</t>
  </si>
  <si>
    <t xml:space="preserve">F-137</t>
  </si>
  <si>
    <t xml:space="preserve">F-138</t>
  </si>
  <si>
    <t xml:space="preserve">F-139</t>
  </si>
  <si>
    <t xml:space="preserve">F-140</t>
  </si>
  <si>
    <t xml:space="preserve">F-141</t>
  </si>
  <si>
    <t xml:space="preserve">F-142</t>
  </si>
  <si>
    <t xml:space="preserve">F-143</t>
  </si>
  <si>
    <t xml:space="preserve">F-144</t>
  </si>
  <si>
    <t xml:space="preserve">F-145</t>
  </si>
  <si>
    <t xml:space="preserve">F-146</t>
  </si>
  <si>
    <t xml:space="preserve">F-147</t>
  </si>
  <si>
    <t xml:space="preserve">Program summary (updates automatically from Roster)</t>
  </si>
  <si>
    <t xml:space="preserve">Families on roster</t>
  </si>
  <si>
    <t xml:space="preserve">Dates confirmed</t>
  </si>
  <si>
    <t xml:space="preserve">Need follow-up</t>
  </si>
  <si>
    <t xml:space="preserve">Confirmation rate</t>
  </si>
  <si>
    <t xml:space="preserve">By testing week</t>
  </si>
  <si>
    <t xml:space="preserve">Week</t>
  </si>
  <si>
    <t xml:space="preserve">Families</t>
  </si>
  <si>
    <t xml:space="preserve">Confirmed</t>
  </si>
  <si>
    <t xml:space="preserve">Follow up</t>
  </si>
  <si>
    <t xml:space="preserve">Rate</t>
  </si>
  <si>
    <t xml:space="preserve">By preferred language</t>
  </si>
  <si>
    <t xml:space="preserve">Language</t>
  </si>
  <si>
    <t xml:space="preserve">Sample data only. Language split is invented for the demo except the 79 English-preferred total.</t>
  </si>
  <si>
    <t xml:space="preserve">Families to call next (pulled automatically from Roster)</t>
  </si>
  <si>
    <t xml:space="preserve">#</t>
  </si>
  <si>
    <t xml:space="preserve">Email Sent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</si>
</sst>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&quot;, &quot;yyyy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192F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A192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A192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28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5" hidden="false" customHeight="false" outlineLevel="0" collapsed="false">
      <c r="A3" s="3" t="s">
        <v>10</v>
      </c>
      <c r="B3" s="4" t="s">
        <v>11</v>
      </c>
      <c r="C3" s="4" t="s">
        <v>12</v>
      </c>
      <c r="D3" s="5" t="n">
        <v>46223</v>
      </c>
      <c r="E3" s="4" t="s">
        <v>13</v>
      </c>
      <c r="F3" s="4" t="s">
        <v>14</v>
      </c>
      <c r="G3" s="4" t="s">
        <v>15</v>
      </c>
      <c r="H3" s="6" t="str">
        <f aca="false">IF(D3&lt;&gt;"","Confirmed","Follow up")</f>
        <v>Confirmed</v>
      </c>
      <c r="I3" s="6" t="str">
        <f aca="false">IF(H3="Follow up",COUNTIF($H$3:H3,"Follow up"),"")</f>
        <v/>
      </c>
    </row>
    <row r="4" customFormat="false" ht="15" hidden="false" customHeight="false" outlineLevel="0" collapsed="false">
      <c r="A4" s="3" t="s">
        <v>16</v>
      </c>
      <c r="B4" s="4" t="s">
        <v>17</v>
      </c>
      <c r="C4" s="4" t="s">
        <v>18</v>
      </c>
      <c r="D4" s="5" t="n">
        <v>46217</v>
      </c>
      <c r="E4" s="4" t="s">
        <v>13</v>
      </c>
      <c r="F4" s="4" t="s">
        <v>14</v>
      </c>
      <c r="G4" s="4" t="s">
        <v>19</v>
      </c>
      <c r="H4" s="6" t="str">
        <f aca="false">IF(D4&lt;&gt;"","Confirmed","Follow up")</f>
        <v>Confirmed</v>
      </c>
      <c r="I4" s="6" t="str">
        <f aca="false">IF(H4="Follow up",COUNTIF($H$3:H4,"Follow up"),"")</f>
        <v/>
      </c>
    </row>
    <row r="5" customFormat="false" ht="15" hidden="false" customHeight="false" outlineLevel="0" collapsed="false">
      <c r="A5" s="3" t="s">
        <v>20</v>
      </c>
      <c r="B5" s="4" t="s">
        <v>21</v>
      </c>
      <c r="C5" s="4" t="s">
        <v>12</v>
      </c>
      <c r="D5" s="5" t="n">
        <v>46212</v>
      </c>
      <c r="E5" s="4" t="s">
        <v>13</v>
      </c>
      <c r="F5" s="4" t="s">
        <v>14</v>
      </c>
      <c r="G5" s="4" t="s">
        <v>22</v>
      </c>
      <c r="H5" s="6" t="str">
        <f aca="false">IF(D5&lt;&gt;"","Confirmed","Follow up")</f>
        <v>Confirmed</v>
      </c>
      <c r="I5" s="6" t="str">
        <f aca="false">IF(H5="Follow up",COUNTIF($H$3:H5,"Follow up"),"")</f>
        <v/>
      </c>
    </row>
    <row r="6" customFormat="false" ht="15" hidden="false" customHeight="false" outlineLevel="0" collapsed="false">
      <c r="A6" s="3" t="s">
        <v>23</v>
      </c>
      <c r="B6" s="4" t="s">
        <v>11</v>
      </c>
      <c r="C6" s="4" t="s">
        <v>12</v>
      </c>
      <c r="D6" s="5" t="n">
        <v>46223</v>
      </c>
      <c r="E6" s="4" t="s">
        <v>13</v>
      </c>
      <c r="F6" s="4" t="s">
        <v>24</v>
      </c>
      <c r="G6" s="4"/>
      <c r="H6" s="6" t="str">
        <f aca="false">IF(D6&lt;&gt;"","Confirmed","Follow up")</f>
        <v>Confirmed</v>
      </c>
      <c r="I6" s="6" t="str">
        <f aca="false">IF(H6="Follow up",COUNTIF($H$3:H6,"Follow up"),"")</f>
        <v/>
      </c>
    </row>
    <row r="7" customFormat="false" ht="15" hidden="false" customHeight="false" outlineLevel="0" collapsed="false">
      <c r="A7" s="3" t="s">
        <v>25</v>
      </c>
      <c r="B7" s="4" t="s">
        <v>21</v>
      </c>
      <c r="C7" s="4" t="s">
        <v>12</v>
      </c>
      <c r="D7" s="5"/>
      <c r="E7" s="4" t="s">
        <v>13</v>
      </c>
      <c r="F7" s="4" t="s">
        <v>24</v>
      </c>
      <c r="G7" s="4" t="s">
        <v>26</v>
      </c>
      <c r="H7" s="6" t="str">
        <f aca="false">IF(D7&lt;&gt;"","Confirmed","Follow up")</f>
        <v>Follow up</v>
      </c>
      <c r="I7" s="6" t="n">
        <f aca="false">IF(H7="Follow up",COUNTIF($H$3:H7,"Follow up"),"")</f>
        <v>1</v>
      </c>
    </row>
    <row r="8" customFormat="false" ht="15" hidden="false" customHeight="false" outlineLevel="0" collapsed="false">
      <c r="A8" s="3" t="s">
        <v>27</v>
      </c>
      <c r="B8" s="4" t="s">
        <v>21</v>
      </c>
      <c r="C8" s="4" t="s">
        <v>12</v>
      </c>
      <c r="D8" s="5"/>
      <c r="E8" s="4" t="s">
        <v>28</v>
      </c>
      <c r="F8" s="4" t="s">
        <v>24</v>
      </c>
      <c r="G8" s="4" t="s">
        <v>29</v>
      </c>
      <c r="H8" s="6" t="str">
        <f aca="false">IF(D8&lt;&gt;"","Confirmed","Follow up")</f>
        <v>Follow up</v>
      </c>
      <c r="I8" s="6" t="n">
        <f aca="false">IF(H8="Follow up",COUNTIF($H$3:H8,"Follow up"),"")</f>
        <v>2</v>
      </c>
    </row>
    <row r="9" customFormat="false" ht="15" hidden="false" customHeight="false" outlineLevel="0" collapsed="false">
      <c r="A9" s="3" t="s">
        <v>30</v>
      </c>
      <c r="B9" s="4" t="s">
        <v>11</v>
      </c>
      <c r="C9" s="4" t="s">
        <v>12</v>
      </c>
      <c r="D9" s="5" t="n">
        <v>46226</v>
      </c>
      <c r="E9" s="4" t="s">
        <v>13</v>
      </c>
      <c r="F9" s="4" t="s">
        <v>24</v>
      </c>
      <c r="G9" s="4" t="s">
        <v>19</v>
      </c>
      <c r="H9" s="6" t="str">
        <f aca="false">IF(D9&lt;&gt;"","Confirmed","Follow up")</f>
        <v>Confirmed</v>
      </c>
      <c r="I9" s="6" t="str">
        <f aca="false">IF(H9="Follow up",COUNTIF($H$3:H9,"Follow up"),"")</f>
        <v/>
      </c>
    </row>
    <row r="10" customFormat="false" ht="15" hidden="false" customHeight="false" outlineLevel="0" collapsed="false">
      <c r="A10" s="3" t="s">
        <v>31</v>
      </c>
      <c r="B10" s="4" t="s">
        <v>21</v>
      </c>
      <c r="C10" s="4" t="s">
        <v>18</v>
      </c>
      <c r="D10" s="5" t="n">
        <v>46210</v>
      </c>
      <c r="E10" s="4" t="s">
        <v>13</v>
      </c>
      <c r="F10" s="4" t="s">
        <v>14</v>
      </c>
      <c r="G10" s="4"/>
      <c r="H10" s="6" t="str">
        <f aca="false">IF(D10&lt;&gt;"","Confirmed","Follow up")</f>
        <v>Confirmed</v>
      </c>
      <c r="I10" s="6" t="str">
        <f aca="false">IF(H10="Follow up",COUNTIF($H$3:H10,"Follow up"),"")</f>
        <v/>
      </c>
    </row>
    <row r="11" customFormat="false" ht="15" hidden="false" customHeight="false" outlineLevel="0" collapsed="false">
      <c r="A11" s="3" t="s">
        <v>32</v>
      </c>
      <c r="B11" s="4" t="s">
        <v>11</v>
      </c>
      <c r="C11" s="4" t="s">
        <v>18</v>
      </c>
      <c r="D11" s="5" t="n">
        <v>46223</v>
      </c>
      <c r="E11" s="4" t="s">
        <v>13</v>
      </c>
      <c r="F11" s="4" t="s">
        <v>24</v>
      </c>
      <c r="G11" s="4"/>
      <c r="H11" s="6" t="str">
        <f aca="false">IF(D11&lt;&gt;"","Confirmed","Follow up")</f>
        <v>Confirmed</v>
      </c>
      <c r="I11" s="6" t="str">
        <f aca="false">IF(H11="Follow up",COUNTIF($H$3:H11,"Follow up"),"")</f>
        <v/>
      </c>
    </row>
    <row r="12" customFormat="false" ht="15" hidden="false" customHeight="false" outlineLevel="0" collapsed="false">
      <c r="A12" s="3" t="s">
        <v>33</v>
      </c>
      <c r="B12" s="4" t="s">
        <v>17</v>
      </c>
      <c r="C12" s="4" t="s">
        <v>12</v>
      </c>
      <c r="D12" s="5" t="n">
        <v>46217</v>
      </c>
      <c r="E12" s="4" t="s">
        <v>13</v>
      </c>
      <c r="F12" s="4" t="s">
        <v>14</v>
      </c>
      <c r="G12" s="4"/>
      <c r="H12" s="6" t="str">
        <f aca="false">IF(D12&lt;&gt;"","Confirmed","Follow up")</f>
        <v>Confirmed</v>
      </c>
      <c r="I12" s="6" t="str">
        <f aca="false">IF(H12="Follow up",COUNTIF($H$3:H12,"Follow up"),"")</f>
        <v/>
      </c>
    </row>
    <row r="13" customFormat="false" ht="15" hidden="false" customHeight="false" outlineLevel="0" collapsed="false">
      <c r="A13" s="3" t="s">
        <v>34</v>
      </c>
      <c r="B13" s="4" t="s">
        <v>17</v>
      </c>
      <c r="C13" s="4" t="s">
        <v>12</v>
      </c>
      <c r="D13" s="5" t="n">
        <v>46217</v>
      </c>
      <c r="E13" s="4" t="s">
        <v>13</v>
      </c>
      <c r="F13" s="4" t="s">
        <v>14</v>
      </c>
      <c r="G13" s="4" t="s">
        <v>15</v>
      </c>
      <c r="H13" s="6" t="str">
        <f aca="false">IF(D13&lt;&gt;"","Confirmed","Follow up")</f>
        <v>Confirmed</v>
      </c>
      <c r="I13" s="6" t="str">
        <f aca="false">IF(H13="Follow up",COUNTIF($H$3:H13,"Follow up"),"")</f>
        <v/>
      </c>
    </row>
    <row r="14" customFormat="false" ht="15" hidden="false" customHeight="false" outlineLevel="0" collapsed="false">
      <c r="A14" s="3" t="s">
        <v>35</v>
      </c>
      <c r="B14" s="4" t="s">
        <v>11</v>
      </c>
      <c r="C14" s="4" t="s">
        <v>18</v>
      </c>
      <c r="D14" s="5" t="n">
        <v>46225</v>
      </c>
      <c r="E14" s="4" t="s">
        <v>13</v>
      </c>
      <c r="F14" s="4" t="s">
        <v>14</v>
      </c>
      <c r="G14" s="4" t="s">
        <v>22</v>
      </c>
      <c r="H14" s="6" t="str">
        <f aca="false">IF(D14&lt;&gt;"","Confirmed","Follow up")</f>
        <v>Confirmed</v>
      </c>
      <c r="I14" s="6" t="str">
        <f aca="false">IF(H14="Follow up",COUNTIF($H$3:H14,"Follow up"),"")</f>
        <v/>
      </c>
    </row>
    <row r="15" customFormat="false" ht="15" hidden="false" customHeight="false" outlineLevel="0" collapsed="false">
      <c r="A15" s="3" t="s">
        <v>36</v>
      </c>
      <c r="B15" s="4" t="s">
        <v>21</v>
      </c>
      <c r="C15" s="4" t="s">
        <v>37</v>
      </c>
      <c r="D15" s="5" t="n">
        <v>46209</v>
      </c>
      <c r="E15" s="4" t="s">
        <v>13</v>
      </c>
      <c r="F15" s="4" t="s">
        <v>24</v>
      </c>
      <c r="G15" s="4" t="s">
        <v>19</v>
      </c>
      <c r="H15" s="6" t="str">
        <f aca="false">IF(D15&lt;&gt;"","Confirmed","Follow up")</f>
        <v>Confirmed</v>
      </c>
      <c r="I15" s="6" t="str">
        <f aca="false">IF(H15="Follow up",COUNTIF($H$3:H15,"Follow up"),"")</f>
        <v/>
      </c>
    </row>
    <row r="16" customFormat="false" ht="15" hidden="false" customHeight="false" outlineLevel="0" collapsed="false">
      <c r="A16" s="3" t="s">
        <v>38</v>
      </c>
      <c r="B16" s="4" t="s">
        <v>17</v>
      </c>
      <c r="C16" s="4" t="s">
        <v>18</v>
      </c>
      <c r="D16" s="5" t="n">
        <v>46219</v>
      </c>
      <c r="E16" s="4" t="s">
        <v>13</v>
      </c>
      <c r="F16" s="4" t="s">
        <v>24</v>
      </c>
      <c r="G16" s="4"/>
      <c r="H16" s="6" t="str">
        <f aca="false">IF(D16&lt;&gt;"","Confirmed","Follow up")</f>
        <v>Confirmed</v>
      </c>
      <c r="I16" s="6" t="str">
        <f aca="false">IF(H16="Follow up",COUNTIF($H$3:H16,"Follow up"),"")</f>
        <v/>
      </c>
    </row>
    <row r="17" customFormat="false" ht="15" hidden="false" customHeight="false" outlineLevel="0" collapsed="false">
      <c r="A17" s="3" t="s">
        <v>39</v>
      </c>
      <c r="B17" s="4" t="s">
        <v>11</v>
      </c>
      <c r="C17" s="4" t="s">
        <v>12</v>
      </c>
      <c r="D17" s="5" t="n">
        <v>46224</v>
      </c>
      <c r="E17" s="4" t="s">
        <v>13</v>
      </c>
      <c r="F17" s="4" t="s">
        <v>24</v>
      </c>
      <c r="G17" s="4"/>
      <c r="H17" s="6" t="str">
        <f aca="false">IF(D17&lt;&gt;"","Confirmed","Follow up")</f>
        <v>Confirmed</v>
      </c>
      <c r="I17" s="6" t="str">
        <f aca="false">IF(H17="Follow up",COUNTIF($H$3:H17,"Follow up"),"")</f>
        <v/>
      </c>
    </row>
    <row r="18" customFormat="false" ht="15" hidden="false" customHeight="false" outlineLevel="0" collapsed="false">
      <c r="A18" s="3" t="s">
        <v>40</v>
      </c>
      <c r="B18" s="4" t="s">
        <v>17</v>
      </c>
      <c r="C18" s="4" t="s">
        <v>12</v>
      </c>
      <c r="D18" s="5" t="n">
        <v>46217</v>
      </c>
      <c r="E18" s="4" t="s">
        <v>13</v>
      </c>
      <c r="F18" s="4" t="s">
        <v>24</v>
      </c>
      <c r="G18" s="4"/>
      <c r="H18" s="6" t="str">
        <f aca="false">IF(D18&lt;&gt;"","Confirmed","Follow up")</f>
        <v>Confirmed</v>
      </c>
      <c r="I18" s="6" t="str">
        <f aca="false">IF(H18="Follow up",COUNTIF($H$3:H18,"Follow up"),"")</f>
        <v/>
      </c>
    </row>
    <row r="19" customFormat="false" ht="15" hidden="false" customHeight="false" outlineLevel="0" collapsed="false">
      <c r="A19" s="3" t="s">
        <v>41</v>
      </c>
      <c r="B19" s="4" t="s">
        <v>21</v>
      </c>
      <c r="C19" s="4" t="s">
        <v>12</v>
      </c>
      <c r="D19" s="5" t="n">
        <v>46210</v>
      </c>
      <c r="E19" s="4" t="s">
        <v>13</v>
      </c>
      <c r="F19" s="4" t="s">
        <v>14</v>
      </c>
      <c r="G19" s="4"/>
      <c r="H19" s="6" t="str">
        <f aca="false">IF(D19&lt;&gt;"","Confirmed","Follow up")</f>
        <v>Confirmed</v>
      </c>
      <c r="I19" s="6" t="str">
        <f aca="false">IF(H19="Follow up",COUNTIF($H$3:H19,"Follow up"),"")</f>
        <v/>
      </c>
    </row>
    <row r="20" customFormat="false" ht="15" hidden="false" customHeight="false" outlineLevel="0" collapsed="false">
      <c r="A20" s="3" t="s">
        <v>42</v>
      </c>
      <c r="B20" s="4" t="s">
        <v>11</v>
      </c>
      <c r="C20" s="4" t="s">
        <v>12</v>
      </c>
      <c r="D20" s="5" t="n">
        <v>46223</v>
      </c>
      <c r="E20" s="4" t="s">
        <v>13</v>
      </c>
      <c r="F20" s="4" t="s">
        <v>24</v>
      </c>
      <c r="G20" s="4"/>
      <c r="H20" s="6" t="str">
        <f aca="false">IF(D20&lt;&gt;"","Confirmed","Follow up")</f>
        <v>Confirmed</v>
      </c>
      <c r="I20" s="6" t="str">
        <f aca="false">IF(H20="Follow up",COUNTIF($H$3:H20,"Follow up"),"")</f>
        <v/>
      </c>
    </row>
    <row r="21" customFormat="false" ht="15" hidden="false" customHeight="false" outlineLevel="0" collapsed="false">
      <c r="A21" s="3" t="s">
        <v>43</v>
      </c>
      <c r="B21" s="4" t="s">
        <v>17</v>
      </c>
      <c r="C21" s="4" t="s">
        <v>18</v>
      </c>
      <c r="D21" s="5" t="n">
        <v>46219</v>
      </c>
      <c r="E21" s="4" t="s">
        <v>13</v>
      </c>
      <c r="F21" s="4" t="s">
        <v>14</v>
      </c>
      <c r="G21" s="4"/>
      <c r="H21" s="6" t="str">
        <f aca="false">IF(D21&lt;&gt;"","Confirmed","Follow up")</f>
        <v>Confirmed</v>
      </c>
      <c r="I21" s="6" t="str">
        <f aca="false">IF(H21="Follow up",COUNTIF($H$3:H21,"Follow up"),"")</f>
        <v/>
      </c>
    </row>
    <row r="22" customFormat="false" ht="15" hidden="false" customHeight="false" outlineLevel="0" collapsed="false">
      <c r="A22" s="3" t="s">
        <v>44</v>
      </c>
      <c r="B22" s="4" t="s">
        <v>21</v>
      </c>
      <c r="C22" s="4" t="s">
        <v>18</v>
      </c>
      <c r="D22" s="5" t="n">
        <v>46210</v>
      </c>
      <c r="E22" s="4" t="s">
        <v>13</v>
      </c>
      <c r="F22" s="4" t="s">
        <v>14</v>
      </c>
      <c r="G22" s="4"/>
      <c r="H22" s="6" t="str">
        <f aca="false">IF(D22&lt;&gt;"","Confirmed","Follow up")</f>
        <v>Confirmed</v>
      </c>
      <c r="I22" s="6" t="str">
        <f aca="false">IF(H22="Follow up",COUNTIF($H$3:H22,"Follow up"),"")</f>
        <v/>
      </c>
    </row>
    <row r="23" customFormat="false" ht="15" hidden="false" customHeight="false" outlineLevel="0" collapsed="false">
      <c r="A23" s="3" t="s">
        <v>45</v>
      </c>
      <c r="B23" s="4" t="s">
        <v>21</v>
      </c>
      <c r="C23" s="4" t="s">
        <v>18</v>
      </c>
      <c r="D23" s="5" t="n">
        <v>46212</v>
      </c>
      <c r="E23" s="4" t="s">
        <v>13</v>
      </c>
      <c r="F23" s="4" t="s">
        <v>24</v>
      </c>
      <c r="G23" s="4"/>
      <c r="H23" s="6" t="str">
        <f aca="false">IF(D23&lt;&gt;"","Confirmed","Follow up")</f>
        <v>Confirmed</v>
      </c>
      <c r="I23" s="6" t="str">
        <f aca="false">IF(H23="Follow up",COUNTIF($H$3:H23,"Follow up"),"")</f>
        <v/>
      </c>
    </row>
    <row r="24" customFormat="false" ht="15" hidden="false" customHeight="false" outlineLevel="0" collapsed="false">
      <c r="A24" s="3" t="s">
        <v>46</v>
      </c>
      <c r="B24" s="4" t="s">
        <v>21</v>
      </c>
      <c r="C24" s="4" t="s">
        <v>12</v>
      </c>
      <c r="D24" s="5" t="n">
        <v>46212</v>
      </c>
      <c r="E24" s="4" t="s">
        <v>13</v>
      </c>
      <c r="F24" s="4" t="s">
        <v>14</v>
      </c>
      <c r="G24" s="4" t="s">
        <v>15</v>
      </c>
      <c r="H24" s="6" t="str">
        <f aca="false">IF(D24&lt;&gt;"","Confirmed","Follow up")</f>
        <v>Confirmed</v>
      </c>
      <c r="I24" s="6" t="str">
        <f aca="false">IF(H24="Follow up",COUNTIF($H$3:H24,"Follow up"),"")</f>
        <v/>
      </c>
    </row>
    <row r="25" customFormat="false" ht="15" hidden="false" customHeight="false" outlineLevel="0" collapsed="false">
      <c r="A25" s="3" t="s">
        <v>47</v>
      </c>
      <c r="B25" s="4" t="s">
        <v>11</v>
      </c>
      <c r="C25" s="4" t="s">
        <v>18</v>
      </c>
      <c r="D25" s="5" t="n">
        <v>46225</v>
      </c>
      <c r="E25" s="4" t="s">
        <v>13</v>
      </c>
      <c r="F25" s="4" t="s">
        <v>14</v>
      </c>
      <c r="G25" s="4"/>
      <c r="H25" s="6" t="str">
        <f aca="false">IF(D25&lt;&gt;"","Confirmed","Follow up")</f>
        <v>Confirmed</v>
      </c>
      <c r="I25" s="6" t="str">
        <f aca="false">IF(H25="Follow up",COUNTIF($H$3:H25,"Follow up"),"")</f>
        <v/>
      </c>
    </row>
    <row r="26" customFormat="false" ht="15" hidden="false" customHeight="false" outlineLevel="0" collapsed="false">
      <c r="A26" s="3" t="s">
        <v>48</v>
      </c>
      <c r="B26" s="4" t="s">
        <v>11</v>
      </c>
      <c r="C26" s="4" t="s">
        <v>12</v>
      </c>
      <c r="D26" s="5" t="n">
        <v>46224</v>
      </c>
      <c r="E26" s="4" t="s">
        <v>13</v>
      </c>
      <c r="F26" s="4" t="s">
        <v>24</v>
      </c>
      <c r="G26" s="4" t="s">
        <v>49</v>
      </c>
      <c r="H26" s="6" t="str">
        <f aca="false">IF(D26&lt;&gt;"","Confirmed","Follow up")</f>
        <v>Confirmed</v>
      </c>
      <c r="I26" s="6" t="str">
        <f aca="false">IF(H26="Follow up",COUNTIF($H$3:H26,"Follow up"),"")</f>
        <v/>
      </c>
    </row>
    <row r="27" customFormat="false" ht="15" hidden="false" customHeight="false" outlineLevel="0" collapsed="false">
      <c r="A27" s="3" t="s">
        <v>50</v>
      </c>
      <c r="B27" s="4" t="s">
        <v>11</v>
      </c>
      <c r="C27" s="4" t="s">
        <v>12</v>
      </c>
      <c r="D27" s="5" t="n">
        <v>46224</v>
      </c>
      <c r="E27" s="4" t="s">
        <v>13</v>
      </c>
      <c r="F27" s="4" t="s">
        <v>14</v>
      </c>
      <c r="G27" s="4"/>
      <c r="H27" s="6" t="str">
        <f aca="false">IF(D27&lt;&gt;"","Confirmed","Follow up")</f>
        <v>Confirmed</v>
      </c>
      <c r="I27" s="6" t="str">
        <f aca="false">IF(H27="Follow up",COUNTIF($H$3:H27,"Follow up"),"")</f>
        <v/>
      </c>
    </row>
    <row r="28" customFormat="false" ht="15" hidden="false" customHeight="false" outlineLevel="0" collapsed="false">
      <c r="A28" s="3" t="s">
        <v>51</v>
      </c>
      <c r="B28" s="4" t="s">
        <v>17</v>
      </c>
      <c r="C28" s="4" t="s">
        <v>12</v>
      </c>
      <c r="D28" s="5" t="n">
        <v>46216</v>
      </c>
      <c r="E28" s="4" t="s">
        <v>13</v>
      </c>
      <c r="F28" s="4" t="s">
        <v>14</v>
      </c>
      <c r="G28" s="4"/>
      <c r="H28" s="6" t="str">
        <f aca="false">IF(D28&lt;&gt;"","Confirmed","Follow up")</f>
        <v>Confirmed</v>
      </c>
      <c r="I28" s="6" t="str">
        <f aca="false">IF(H28="Follow up",COUNTIF($H$3:H28,"Follow up"),"")</f>
        <v/>
      </c>
    </row>
    <row r="29" customFormat="false" ht="15" hidden="false" customHeight="false" outlineLevel="0" collapsed="false">
      <c r="A29" s="3" t="s">
        <v>52</v>
      </c>
      <c r="B29" s="4" t="s">
        <v>17</v>
      </c>
      <c r="C29" s="4" t="s">
        <v>12</v>
      </c>
      <c r="D29" s="5" t="n">
        <v>46216</v>
      </c>
      <c r="E29" s="4" t="s">
        <v>13</v>
      </c>
      <c r="F29" s="4" t="s">
        <v>24</v>
      </c>
      <c r="G29" s="4" t="s">
        <v>15</v>
      </c>
      <c r="H29" s="6" t="str">
        <f aca="false">IF(D29&lt;&gt;"","Confirmed","Follow up")</f>
        <v>Confirmed</v>
      </c>
      <c r="I29" s="6" t="str">
        <f aca="false">IF(H29="Follow up",COUNTIF($H$3:H29,"Follow up"),"")</f>
        <v/>
      </c>
    </row>
    <row r="30" customFormat="false" ht="15" hidden="false" customHeight="false" outlineLevel="0" collapsed="false">
      <c r="A30" s="3" t="s">
        <v>53</v>
      </c>
      <c r="B30" s="4" t="s">
        <v>17</v>
      </c>
      <c r="C30" s="4" t="s">
        <v>37</v>
      </c>
      <c r="D30" s="5"/>
      <c r="E30" s="4" t="s">
        <v>13</v>
      </c>
      <c r="F30" s="4" t="s">
        <v>24</v>
      </c>
      <c r="G30" s="4" t="s">
        <v>29</v>
      </c>
      <c r="H30" s="6" t="str">
        <f aca="false">IF(D30&lt;&gt;"","Confirmed","Follow up")</f>
        <v>Follow up</v>
      </c>
      <c r="I30" s="6" t="n">
        <f aca="false">IF(H30="Follow up",COUNTIF($H$3:H30,"Follow up"),"")</f>
        <v>3</v>
      </c>
    </row>
    <row r="31" customFormat="false" ht="15" hidden="false" customHeight="false" outlineLevel="0" collapsed="false">
      <c r="A31" s="3" t="s">
        <v>54</v>
      </c>
      <c r="B31" s="4" t="s">
        <v>11</v>
      </c>
      <c r="C31" s="4" t="s">
        <v>12</v>
      </c>
      <c r="D31" s="5" t="n">
        <v>46225</v>
      </c>
      <c r="E31" s="4" t="s">
        <v>13</v>
      </c>
      <c r="F31" s="4" t="s">
        <v>14</v>
      </c>
      <c r="G31" s="4"/>
      <c r="H31" s="6" t="str">
        <f aca="false">IF(D31&lt;&gt;"","Confirmed","Follow up")</f>
        <v>Confirmed</v>
      </c>
      <c r="I31" s="6" t="str">
        <f aca="false">IF(H31="Follow up",COUNTIF($H$3:H31,"Follow up"),"")</f>
        <v/>
      </c>
    </row>
    <row r="32" customFormat="false" ht="15" hidden="false" customHeight="false" outlineLevel="0" collapsed="false">
      <c r="A32" s="3" t="s">
        <v>55</v>
      </c>
      <c r="B32" s="4" t="s">
        <v>11</v>
      </c>
      <c r="C32" s="4" t="s">
        <v>56</v>
      </c>
      <c r="D32" s="5" t="n">
        <v>46225</v>
      </c>
      <c r="E32" s="4" t="s">
        <v>13</v>
      </c>
      <c r="F32" s="4" t="s">
        <v>14</v>
      </c>
      <c r="G32" s="4" t="s">
        <v>49</v>
      </c>
      <c r="H32" s="6" t="str">
        <f aca="false">IF(D32&lt;&gt;"","Confirmed","Follow up")</f>
        <v>Confirmed</v>
      </c>
      <c r="I32" s="6" t="str">
        <f aca="false">IF(H32="Follow up",COUNTIF($H$3:H32,"Follow up"),"")</f>
        <v/>
      </c>
    </row>
    <row r="33" customFormat="false" ht="15" hidden="false" customHeight="false" outlineLevel="0" collapsed="false">
      <c r="A33" s="3" t="s">
        <v>57</v>
      </c>
      <c r="B33" s="4" t="s">
        <v>21</v>
      </c>
      <c r="C33" s="4" t="s">
        <v>12</v>
      </c>
      <c r="D33" s="5" t="n">
        <v>46212</v>
      </c>
      <c r="E33" s="4" t="s">
        <v>13</v>
      </c>
      <c r="F33" s="4" t="s">
        <v>14</v>
      </c>
      <c r="G33" s="4"/>
      <c r="H33" s="6" t="str">
        <f aca="false">IF(D33&lt;&gt;"","Confirmed","Follow up")</f>
        <v>Confirmed</v>
      </c>
      <c r="I33" s="6" t="str">
        <f aca="false">IF(H33="Follow up",COUNTIF($H$3:H33,"Follow up"),"")</f>
        <v/>
      </c>
    </row>
    <row r="34" customFormat="false" ht="15" hidden="false" customHeight="false" outlineLevel="0" collapsed="false">
      <c r="A34" s="3" t="s">
        <v>58</v>
      </c>
      <c r="B34" s="4" t="s">
        <v>17</v>
      </c>
      <c r="C34" s="4" t="s">
        <v>12</v>
      </c>
      <c r="D34" s="5" t="n">
        <v>46219</v>
      </c>
      <c r="E34" s="4" t="s">
        <v>13</v>
      </c>
      <c r="F34" s="4" t="s">
        <v>14</v>
      </c>
      <c r="G34" s="4" t="s">
        <v>15</v>
      </c>
      <c r="H34" s="6" t="str">
        <f aca="false">IF(D34&lt;&gt;"","Confirmed","Follow up")</f>
        <v>Confirmed</v>
      </c>
      <c r="I34" s="6" t="str">
        <f aca="false">IF(H34="Follow up",COUNTIF($H$3:H34,"Follow up"),"")</f>
        <v/>
      </c>
    </row>
    <row r="35" customFormat="false" ht="15" hidden="false" customHeight="false" outlineLevel="0" collapsed="false">
      <c r="A35" s="3" t="s">
        <v>59</v>
      </c>
      <c r="B35" s="4" t="s">
        <v>21</v>
      </c>
      <c r="C35" s="4" t="s">
        <v>18</v>
      </c>
      <c r="D35" s="5" t="n">
        <v>46212</v>
      </c>
      <c r="E35" s="4" t="s">
        <v>13</v>
      </c>
      <c r="F35" s="4" t="s">
        <v>24</v>
      </c>
      <c r="G35" s="4" t="s">
        <v>22</v>
      </c>
      <c r="H35" s="6" t="str">
        <f aca="false">IF(D35&lt;&gt;"","Confirmed","Follow up")</f>
        <v>Confirmed</v>
      </c>
      <c r="I35" s="6" t="str">
        <f aca="false">IF(H35="Follow up",COUNTIF($H$3:H35,"Follow up"),"")</f>
        <v/>
      </c>
    </row>
    <row r="36" customFormat="false" ht="15" hidden="false" customHeight="false" outlineLevel="0" collapsed="false">
      <c r="A36" s="3" t="s">
        <v>60</v>
      </c>
      <c r="B36" s="4" t="s">
        <v>17</v>
      </c>
      <c r="C36" s="4" t="s">
        <v>18</v>
      </c>
      <c r="D36" s="5" t="n">
        <v>46219</v>
      </c>
      <c r="E36" s="4" t="s">
        <v>13</v>
      </c>
      <c r="F36" s="4" t="s">
        <v>14</v>
      </c>
      <c r="G36" s="4" t="s">
        <v>19</v>
      </c>
      <c r="H36" s="6" t="str">
        <f aca="false">IF(D36&lt;&gt;"","Confirmed","Follow up")</f>
        <v>Confirmed</v>
      </c>
      <c r="I36" s="6" t="str">
        <f aca="false">IF(H36="Follow up",COUNTIF($H$3:H36,"Follow up"),"")</f>
        <v/>
      </c>
    </row>
    <row r="37" customFormat="false" ht="15" hidden="false" customHeight="false" outlineLevel="0" collapsed="false">
      <c r="A37" s="3" t="s">
        <v>61</v>
      </c>
      <c r="B37" s="4" t="s">
        <v>17</v>
      </c>
      <c r="C37" s="4" t="s">
        <v>18</v>
      </c>
      <c r="D37" s="5" t="n">
        <v>46216</v>
      </c>
      <c r="E37" s="4" t="s">
        <v>13</v>
      </c>
      <c r="F37" s="4" t="s">
        <v>24</v>
      </c>
      <c r="G37" s="4" t="s">
        <v>19</v>
      </c>
      <c r="H37" s="6" t="str">
        <f aca="false">IF(D37&lt;&gt;"","Confirmed","Follow up")</f>
        <v>Confirmed</v>
      </c>
      <c r="I37" s="6" t="str">
        <f aca="false">IF(H37="Follow up",COUNTIF($H$3:H37,"Follow up"),"")</f>
        <v/>
      </c>
    </row>
    <row r="38" customFormat="false" ht="15" hidden="false" customHeight="false" outlineLevel="0" collapsed="false">
      <c r="A38" s="3" t="s">
        <v>62</v>
      </c>
      <c r="B38" s="4" t="s">
        <v>21</v>
      </c>
      <c r="C38" s="4" t="s">
        <v>12</v>
      </c>
      <c r="D38" s="5"/>
      <c r="E38" s="4" t="s">
        <v>28</v>
      </c>
      <c r="F38" s="4" t="s">
        <v>24</v>
      </c>
      <c r="G38" s="4" t="s">
        <v>63</v>
      </c>
      <c r="H38" s="6" t="str">
        <f aca="false">IF(D38&lt;&gt;"","Confirmed","Follow up")</f>
        <v>Follow up</v>
      </c>
      <c r="I38" s="6" t="n">
        <f aca="false">IF(H38="Follow up",COUNTIF($H$3:H38,"Follow up"),"")</f>
        <v>4</v>
      </c>
    </row>
    <row r="39" customFormat="false" ht="15" hidden="false" customHeight="false" outlineLevel="0" collapsed="false">
      <c r="A39" s="3" t="s">
        <v>64</v>
      </c>
      <c r="B39" s="4" t="s">
        <v>17</v>
      </c>
      <c r="C39" s="4" t="s">
        <v>12</v>
      </c>
      <c r="D39" s="5"/>
      <c r="E39" s="4" t="s">
        <v>28</v>
      </c>
      <c r="F39" s="4" t="s">
        <v>24</v>
      </c>
      <c r="G39" s="4" t="s">
        <v>26</v>
      </c>
      <c r="H39" s="6" t="str">
        <f aca="false">IF(D39&lt;&gt;"","Confirmed","Follow up")</f>
        <v>Follow up</v>
      </c>
      <c r="I39" s="6" t="n">
        <f aca="false">IF(H39="Follow up",COUNTIF($H$3:H39,"Follow up"),"")</f>
        <v>5</v>
      </c>
    </row>
    <row r="40" customFormat="false" ht="15" hidden="false" customHeight="false" outlineLevel="0" collapsed="false">
      <c r="A40" s="3" t="s">
        <v>65</v>
      </c>
      <c r="B40" s="4" t="s">
        <v>17</v>
      </c>
      <c r="C40" s="4" t="s">
        <v>12</v>
      </c>
      <c r="D40" s="5" t="n">
        <v>46218</v>
      </c>
      <c r="E40" s="4" t="s">
        <v>13</v>
      </c>
      <c r="F40" s="4" t="s">
        <v>24</v>
      </c>
      <c r="G40" s="4" t="s">
        <v>49</v>
      </c>
      <c r="H40" s="6" t="str">
        <f aca="false">IF(D40&lt;&gt;"","Confirmed","Follow up")</f>
        <v>Confirmed</v>
      </c>
      <c r="I40" s="6" t="str">
        <f aca="false">IF(H40="Follow up",COUNTIF($H$3:H40,"Follow up"),"")</f>
        <v/>
      </c>
    </row>
    <row r="41" customFormat="false" ht="15" hidden="false" customHeight="false" outlineLevel="0" collapsed="false">
      <c r="A41" s="3" t="s">
        <v>66</v>
      </c>
      <c r="B41" s="4" t="s">
        <v>11</v>
      </c>
      <c r="C41" s="4" t="s">
        <v>12</v>
      </c>
      <c r="D41" s="5" t="n">
        <v>46223</v>
      </c>
      <c r="E41" s="4" t="s">
        <v>13</v>
      </c>
      <c r="F41" s="4" t="s">
        <v>14</v>
      </c>
      <c r="G41" s="4" t="s">
        <v>15</v>
      </c>
      <c r="H41" s="6" t="str">
        <f aca="false">IF(D41&lt;&gt;"","Confirmed","Follow up")</f>
        <v>Confirmed</v>
      </c>
      <c r="I41" s="6" t="str">
        <f aca="false">IF(H41="Follow up",COUNTIF($H$3:H41,"Follow up"),"")</f>
        <v/>
      </c>
    </row>
    <row r="42" customFormat="false" ht="15" hidden="false" customHeight="false" outlineLevel="0" collapsed="false">
      <c r="A42" s="3" t="s">
        <v>67</v>
      </c>
      <c r="B42" s="4" t="s">
        <v>21</v>
      </c>
      <c r="C42" s="4" t="s">
        <v>18</v>
      </c>
      <c r="D42" s="5" t="n">
        <v>46209</v>
      </c>
      <c r="E42" s="4" t="s">
        <v>13</v>
      </c>
      <c r="F42" s="4" t="s">
        <v>14</v>
      </c>
      <c r="G42" s="4" t="s">
        <v>49</v>
      </c>
      <c r="H42" s="6" t="str">
        <f aca="false">IF(D42&lt;&gt;"","Confirmed","Follow up")</f>
        <v>Confirmed</v>
      </c>
      <c r="I42" s="6" t="str">
        <f aca="false">IF(H42="Follow up",COUNTIF($H$3:H42,"Follow up"),"")</f>
        <v/>
      </c>
    </row>
    <row r="43" customFormat="false" ht="15" hidden="false" customHeight="false" outlineLevel="0" collapsed="false">
      <c r="A43" s="3" t="s">
        <v>68</v>
      </c>
      <c r="B43" s="4" t="s">
        <v>21</v>
      </c>
      <c r="C43" s="4" t="s">
        <v>18</v>
      </c>
      <c r="D43" s="5" t="n">
        <v>46210</v>
      </c>
      <c r="E43" s="4" t="s">
        <v>13</v>
      </c>
      <c r="F43" s="4" t="s">
        <v>14</v>
      </c>
      <c r="G43" s="4"/>
      <c r="H43" s="6" t="str">
        <f aca="false">IF(D43&lt;&gt;"","Confirmed","Follow up")</f>
        <v>Confirmed</v>
      </c>
      <c r="I43" s="6" t="str">
        <f aca="false">IF(H43="Follow up",COUNTIF($H$3:H43,"Follow up"),"")</f>
        <v/>
      </c>
    </row>
    <row r="44" customFormat="false" ht="15" hidden="false" customHeight="false" outlineLevel="0" collapsed="false">
      <c r="A44" s="3" t="s">
        <v>69</v>
      </c>
      <c r="B44" s="4" t="s">
        <v>17</v>
      </c>
      <c r="C44" s="4" t="s">
        <v>18</v>
      </c>
      <c r="D44" s="5" t="n">
        <v>46218</v>
      </c>
      <c r="E44" s="4" t="s">
        <v>13</v>
      </c>
      <c r="F44" s="4" t="s">
        <v>14</v>
      </c>
      <c r="G44" s="4"/>
      <c r="H44" s="6" t="str">
        <f aca="false">IF(D44&lt;&gt;"","Confirmed","Follow up")</f>
        <v>Confirmed</v>
      </c>
      <c r="I44" s="6" t="str">
        <f aca="false">IF(H44="Follow up",COUNTIF($H$3:H44,"Follow up"),"")</f>
        <v/>
      </c>
    </row>
    <row r="45" customFormat="false" ht="15" hidden="false" customHeight="false" outlineLevel="0" collapsed="false">
      <c r="A45" s="3" t="s">
        <v>70</v>
      </c>
      <c r="B45" s="4" t="s">
        <v>11</v>
      </c>
      <c r="C45" s="4" t="s">
        <v>12</v>
      </c>
      <c r="D45" s="5"/>
      <c r="E45" s="4" t="s">
        <v>28</v>
      </c>
      <c r="F45" s="4" t="s">
        <v>24</v>
      </c>
      <c r="G45" s="4" t="s">
        <v>71</v>
      </c>
      <c r="H45" s="6" t="str">
        <f aca="false">IF(D45&lt;&gt;"","Confirmed","Follow up")</f>
        <v>Follow up</v>
      </c>
      <c r="I45" s="6" t="n">
        <f aca="false">IF(H45="Follow up",COUNTIF($H$3:H45,"Follow up"),"")</f>
        <v>6</v>
      </c>
    </row>
    <row r="46" customFormat="false" ht="15" hidden="false" customHeight="false" outlineLevel="0" collapsed="false">
      <c r="A46" s="3" t="s">
        <v>72</v>
      </c>
      <c r="B46" s="4" t="s">
        <v>21</v>
      </c>
      <c r="C46" s="4" t="s">
        <v>56</v>
      </c>
      <c r="D46" s="5" t="n">
        <v>46211</v>
      </c>
      <c r="E46" s="4" t="s">
        <v>13</v>
      </c>
      <c r="F46" s="4" t="s">
        <v>14</v>
      </c>
      <c r="G46" s="4"/>
      <c r="H46" s="6" t="str">
        <f aca="false">IF(D46&lt;&gt;"","Confirmed","Follow up")</f>
        <v>Confirmed</v>
      </c>
      <c r="I46" s="6" t="str">
        <f aca="false">IF(H46="Follow up",COUNTIF($H$3:H46,"Follow up"),"")</f>
        <v/>
      </c>
    </row>
    <row r="47" customFormat="false" ht="15" hidden="false" customHeight="false" outlineLevel="0" collapsed="false">
      <c r="A47" s="3" t="s">
        <v>73</v>
      </c>
      <c r="B47" s="4" t="s">
        <v>17</v>
      </c>
      <c r="C47" s="4" t="s">
        <v>18</v>
      </c>
      <c r="D47" s="5" t="n">
        <v>46216</v>
      </c>
      <c r="E47" s="4" t="s">
        <v>13</v>
      </c>
      <c r="F47" s="4" t="s">
        <v>14</v>
      </c>
      <c r="G47" s="4"/>
      <c r="H47" s="6" t="str">
        <f aca="false">IF(D47&lt;&gt;"","Confirmed","Follow up")</f>
        <v>Confirmed</v>
      </c>
      <c r="I47" s="6" t="str">
        <f aca="false">IF(H47="Follow up",COUNTIF($H$3:H47,"Follow up"),"")</f>
        <v/>
      </c>
    </row>
    <row r="48" customFormat="false" ht="15" hidden="false" customHeight="false" outlineLevel="0" collapsed="false">
      <c r="A48" s="3" t="s">
        <v>74</v>
      </c>
      <c r="B48" s="4" t="s">
        <v>11</v>
      </c>
      <c r="C48" s="4" t="s">
        <v>18</v>
      </c>
      <c r="D48" s="5" t="n">
        <v>46223</v>
      </c>
      <c r="E48" s="4" t="s">
        <v>13</v>
      </c>
      <c r="F48" s="4" t="s">
        <v>14</v>
      </c>
      <c r="G48" s="4"/>
      <c r="H48" s="6" t="str">
        <f aca="false">IF(D48&lt;&gt;"","Confirmed","Follow up")</f>
        <v>Confirmed</v>
      </c>
      <c r="I48" s="6" t="str">
        <f aca="false">IF(H48="Follow up",COUNTIF($H$3:H48,"Follow up"),"")</f>
        <v/>
      </c>
    </row>
    <row r="49" customFormat="false" ht="15" hidden="false" customHeight="false" outlineLevel="0" collapsed="false">
      <c r="A49" s="3" t="s">
        <v>75</v>
      </c>
      <c r="B49" s="4" t="s">
        <v>11</v>
      </c>
      <c r="C49" s="4" t="s">
        <v>56</v>
      </c>
      <c r="D49" s="5" t="n">
        <v>46224</v>
      </c>
      <c r="E49" s="4" t="s">
        <v>13</v>
      </c>
      <c r="F49" s="4" t="s">
        <v>14</v>
      </c>
      <c r="G49" s="4" t="s">
        <v>49</v>
      </c>
      <c r="H49" s="6" t="str">
        <f aca="false">IF(D49&lt;&gt;"","Confirmed","Follow up")</f>
        <v>Confirmed</v>
      </c>
      <c r="I49" s="6" t="str">
        <f aca="false">IF(H49="Follow up",COUNTIF($H$3:H49,"Follow up"),"")</f>
        <v/>
      </c>
    </row>
    <row r="50" customFormat="false" ht="15" hidden="false" customHeight="false" outlineLevel="0" collapsed="false">
      <c r="A50" s="3" t="s">
        <v>76</v>
      </c>
      <c r="B50" s="4" t="s">
        <v>21</v>
      </c>
      <c r="C50" s="4" t="s">
        <v>12</v>
      </c>
      <c r="D50" s="5" t="n">
        <v>46212</v>
      </c>
      <c r="E50" s="4" t="s">
        <v>13</v>
      </c>
      <c r="F50" s="4" t="s">
        <v>14</v>
      </c>
      <c r="G50" s="4" t="s">
        <v>19</v>
      </c>
      <c r="H50" s="6" t="str">
        <f aca="false">IF(D50&lt;&gt;"","Confirmed","Follow up")</f>
        <v>Confirmed</v>
      </c>
      <c r="I50" s="6" t="str">
        <f aca="false">IF(H50="Follow up",COUNTIF($H$3:H50,"Follow up"),"")</f>
        <v/>
      </c>
    </row>
    <row r="51" customFormat="false" ht="15" hidden="false" customHeight="false" outlineLevel="0" collapsed="false">
      <c r="A51" s="3" t="s">
        <v>77</v>
      </c>
      <c r="B51" s="4" t="s">
        <v>11</v>
      </c>
      <c r="C51" s="4" t="s">
        <v>56</v>
      </c>
      <c r="D51" s="5" t="n">
        <v>46226</v>
      </c>
      <c r="E51" s="4" t="s">
        <v>13</v>
      </c>
      <c r="F51" s="4" t="s">
        <v>14</v>
      </c>
      <c r="G51" s="4"/>
      <c r="H51" s="6" t="str">
        <f aca="false">IF(D51&lt;&gt;"","Confirmed","Follow up")</f>
        <v>Confirmed</v>
      </c>
      <c r="I51" s="6" t="str">
        <f aca="false">IF(H51="Follow up",COUNTIF($H$3:H51,"Follow up"),"")</f>
        <v/>
      </c>
    </row>
    <row r="52" customFormat="false" ht="15" hidden="false" customHeight="false" outlineLevel="0" collapsed="false">
      <c r="A52" s="3" t="s">
        <v>78</v>
      </c>
      <c r="B52" s="4" t="s">
        <v>21</v>
      </c>
      <c r="C52" s="4" t="s">
        <v>12</v>
      </c>
      <c r="D52" s="5" t="n">
        <v>46210</v>
      </c>
      <c r="E52" s="4" t="s">
        <v>13</v>
      </c>
      <c r="F52" s="4" t="s">
        <v>14</v>
      </c>
      <c r="G52" s="4"/>
      <c r="H52" s="6" t="str">
        <f aca="false">IF(D52&lt;&gt;"","Confirmed","Follow up")</f>
        <v>Confirmed</v>
      </c>
      <c r="I52" s="6" t="str">
        <f aca="false">IF(H52="Follow up",COUNTIF($H$3:H52,"Follow up"),"")</f>
        <v/>
      </c>
    </row>
    <row r="53" customFormat="false" ht="15" hidden="false" customHeight="false" outlineLevel="0" collapsed="false">
      <c r="A53" s="3" t="s">
        <v>79</v>
      </c>
      <c r="B53" s="4" t="s">
        <v>17</v>
      </c>
      <c r="C53" s="4" t="s">
        <v>18</v>
      </c>
      <c r="D53" s="5" t="n">
        <v>46216</v>
      </c>
      <c r="E53" s="4" t="s">
        <v>13</v>
      </c>
      <c r="F53" s="4" t="s">
        <v>14</v>
      </c>
      <c r="G53" s="4" t="s">
        <v>15</v>
      </c>
      <c r="H53" s="6" t="str">
        <f aca="false">IF(D53&lt;&gt;"","Confirmed","Follow up")</f>
        <v>Confirmed</v>
      </c>
      <c r="I53" s="6" t="str">
        <f aca="false">IF(H53="Follow up",COUNTIF($H$3:H53,"Follow up"),"")</f>
        <v/>
      </c>
    </row>
    <row r="54" customFormat="false" ht="15" hidden="false" customHeight="false" outlineLevel="0" collapsed="false">
      <c r="A54" s="3" t="s">
        <v>80</v>
      </c>
      <c r="B54" s="4" t="s">
        <v>17</v>
      </c>
      <c r="C54" s="4" t="s">
        <v>37</v>
      </c>
      <c r="D54" s="5" t="n">
        <v>46218</v>
      </c>
      <c r="E54" s="4" t="s">
        <v>13</v>
      </c>
      <c r="F54" s="4" t="s">
        <v>24</v>
      </c>
      <c r="G54" s="4" t="s">
        <v>15</v>
      </c>
      <c r="H54" s="6" t="str">
        <f aca="false">IF(D54&lt;&gt;"","Confirmed","Follow up")</f>
        <v>Confirmed</v>
      </c>
      <c r="I54" s="6" t="str">
        <f aca="false">IF(H54="Follow up",COUNTIF($H$3:H54,"Follow up"),"")</f>
        <v/>
      </c>
    </row>
    <row r="55" customFormat="false" ht="15" hidden="false" customHeight="false" outlineLevel="0" collapsed="false">
      <c r="A55" s="3" t="s">
        <v>81</v>
      </c>
      <c r="B55" s="4" t="s">
        <v>17</v>
      </c>
      <c r="C55" s="4" t="s">
        <v>12</v>
      </c>
      <c r="D55" s="5"/>
      <c r="E55" s="4" t="s">
        <v>28</v>
      </c>
      <c r="F55" s="4" t="s">
        <v>24</v>
      </c>
      <c r="G55" s="4" t="s">
        <v>63</v>
      </c>
      <c r="H55" s="6" t="str">
        <f aca="false">IF(D55&lt;&gt;"","Confirmed","Follow up")</f>
        <v>Follow up</v>
      </c>
      <c r="I55" s="6" t="n">
        <f aca="false">IF(H55="Follow up",COUNTIF($H$3:H55,"Follow up"),"")</f>
        <v>7</v>
      </c>
    </row>
    <row r="56" customFormat="false" ht="15" hidden="false" customHeight="false" outlineLevel="0" collapsed="false">
      <c r="A56" s="3" t="s">
        <v>82</v>
      </c>
      <c r="B56" s="4" t="s">
        <v>11</v>
      </c>
      <c r="C56" s="4" t="s">
        <v>12</v>
      </c>
      <c r="D56" s="5" t="n">
        <v>46224</v>
      </c>
      <c r="E56" s="4" t="s">
        <v>13</v>
      </c>
      <c r="F56" s="4" t="s">
        <v>14</v>
      </c>
      <c r="G56" s="4" t="s">
        <v>19</v>
      </c>
      <c r="H56" s="6" t="str">
        <f aca="false">IF(D56&lt;&gt;"","Confirmed","Follow up")</f>
        <v>Confirmed</v>
      </c>
      <c r="I56" s="6" t="str">
        <f aca="false">IF(H56="Follow up",COUNTIF($H$3:H56,"Follow up"),"")</f>
        <v/>
      </c>
    </row>
    <row r="57" customFormat="false" ht="15" hidden="false" customHeight="false" outlineLevel="0" collapsed="false">
      <c r="A57" s="3" t="s">
        <v>83</v>
      </c>
      <c r="B57" s="4" t="s">
        <v>21</v>
      </c>
      <c r="C57" s="4" t="s">
        <v>12</v>
      </c>
      <c r="D57" s="5" t="n">
        <v>46211</v>
      </c>
      <c r="E57" s="4" t="s">
        <v>13</v>
      </c>
      <c r="F57" s="4" t="s">
        <v>14</v>
      </c>
      <c r="G57" s="4"/>
      <c r="H57" s="6" t="str">
        <f aca="false">IF(D57&lt;&gt;"","Confirmed","Follow up")</f>
        <v>Confirmed</v>
      </c>
      <c r="I57" s="6" t="str">
        <f aca="false">IF(H57="Follow up",COUNTIF($H$3:H57,"Follow up"),"")</f>
        <v/>
      </c>
    </row>
    <row r="58" customFormat="false" ht="15" hidden="false" customHeight="false" outlineLevel="0" collapsed="false">
      <c r="A58" s="3" t="s">
        <v>84</v>
      </c>
      <c r="B58" s="4" t="s">
        <v>21</v>
      </c>
      <c r="C58" s="4" t="s">
        <v>12</v>
      </c>
      <c r="D58" s="5" t="n">
        <v>46210</v>
      </c>
      <c r="E58" s="4" t="s">
        <v>13</v>
      </c>
      <c r="F58" s="4" t="s">
        <v>24</v>
      </c>
      <c r="G58" s="4"/>
      <c r="H58" s="6" t="str">
        <f aca="false">IF(D58&lt;&gt;"","Confirmed","Follow up")</f>
        <v>Confirmed</v>
      </c>
      <c r="I58" s="6" t="str">
        <f aca="false">IF(H58="Follow up",COUNTIF($H$3:H58,"Follow up"),"")</f>
        <v/>
      </c>
    </row>
    <row r="59" customFormat="false" ht="15" hidden="false" customHeight="false" outlineLevel="0" collapsed="false">
      <c r="A59" s="3" t="s">
        <v>85</v>
      </c>
      <c r="B59" s="4" t="s">
        <v>21</v>
      </c>
      <c r="C59" s="4" t="s">
        <v>12</v>
      </c>
      <c r="D59" s="5" t="n">
        <v>46212</v>
      </c>
      <c r="E59" s="4" t="s">
        <v>13</v>
      </c>
      <c r="F59" s="4" t="s">
        <v>14</v>
      </c>
      <c r="G59" s="4" t="s">
        <v>22</v>
      </c>
      <c r="H59" s="6" t="str">
        <f aca="false">IF(D59&lt;&gt;"","Confirmed","Follow up")</f>
        <v>Confirmed</v>
      </c>
      <c r="I59" s="6" t="str">
        <f aca="false">IF(H59="Follow up",COUNTIF($H$3:H59,"Follow up"),"")</f>
        <v/>
      </c>
    </row>
    <row r="60" customFormat="false" ht="15" hidden="false" customHeight="false" outlineLevel="0" collapsed="false">
      <c r="A60" s="3" t="s">
        <v>86</v>
      </c>
      <c r="B60" s="4" t="s">
        <v>11</v>
      </c>
      <c r="C60" s="4" t="s">
        <v>18</v>
      </c>
      <c r="D60" s="5" t="n">
        <v>46226</v>
      </c>
      <c r="E60" s="4" t="s">
        <v>13</v>
      </c>
      <c r="F60" s="4" t="s">
        <v>24</v>
      </c>
      <c r="G60" s="4" t="s">
        <v>22</v>
      </c>
      <c r="H60" s="6" t="str">
        <f aca="false">IF(D60&lt;&gt;"","Confirmed","Follow up")</f>
        <v>Confirmed</v>
      </c>
      <c r="I60" s="6" t="str">
        <f aca="false">IF(H60="Follow up",COUNTIF($H$3:H60,"Follow up"),"")</f>
        <v/>
      </c>
    </row>
    <row r="61" customFormat="false" ht="15" hidden="false" customHeight="false" outlineLevel="0" collapsed="false">
      <c r="A61" s="3" t="s">
        <v>87</v>
      </c>
      <c r="B61" s="4" t="s">
        <v>11</v>
      </c>
      <c r="C61" s="4" t="s">
        <v>18</v>
      </c>
      <c r="D61" s="5" t="n">
        <v>46225</v>
      </c>
      <c r="E61" s="4" t="s">
        <v>13</v>
      </c>
      <c r="F61" s="4" t="s">
        <v>24</v>
      </c>
      <c r="G61" s="4" t="s">
        <v>15</v>
      </c>
      <c r="H61" s="6" t="str">
        <f aca="false">IF(D61&lt;&gt;"","Confirmed","Follow up")</f>
        <v>Confirmed</v>
      </c>
      <c r="I61" s="6" t="str">
        <f aca="false">IF(H61="Follow up",COUNTIF($H$3:H61,"Follow up"),"")</f>
        <v/>
      </c>
    </row>
    <row r="62" customFormat="false" ht="15" hidden="false" customHeight="false" outlineLevel="0" collapsed="false">
      <c r="A62" s="3" t="s">
        <v>88</v>
      </c>
      <c r="B62" s="4" t="s">
        <v>21</v>
      </c>
      <c r="C62" s="4" t="s">
        <v>18</v>
      </c>
      <c r="D62" s="5" t="n">
        <v>46211</v>
      </c>
      <c r="E62" s="4" t="s">
        <v>13</v>
      </c>
      <c r="F62" s="4" t="s">
        <v>14</v>
      </c>
      <c r="G62" s="4"/>
      <c r="H62" s="6" t="str">
        <f aca="false">IF(D62&lt;&gt;"","Confirmed","Follow up")</f>
        <v>Confirmed</v>
      </c>
      <c r="I62" s="6" t="str">
        <f aca="false">IF(H62="Follow up",COUNTIF($H$3:H62,"Follow up"),"")</f>
        <v/>
      </c>
    </row>
    <row r="63" customFormat="false" ht="15" hidden="false" customHeight="false" outlineLevel="0" collapsed="false">
      <c r="A63" s="3" t="s">
        <v>89</v>
      </c>
      <c r="B63" s="4" t="s">
        <v>17</v>
      </c>
      <c r="C63" s="4" t="s">
        <v>12</v>
      </c>
      <c r="D63" s="5" t="n">
        <v>46218</v>
      </c>
      <c r="E63" s="4" t="s">
        <v>13</v>
      </c>
      <c r="F63" s="4" t="s">
        <v>14</v>
      </c>
      <c r="G63" s="4"/>
      <c r="H63" s="6" t="str">
        <f aca="false">IF(D63&lt;&gt;"","Confirmed","Follow up")</f>
        <v>Confirmed</v>
      </c>
      <c r="I63" s="6" t="str">
        <f aca="false">IF(H63="Follow up",COUNTIF($H$3:H63,"Follow up"),"")</f>
        <v/>
      </c>
    </row>
    <row r="64" customFormat="false" ht="15" hidden="false" customHeight="false" outlineLevel="0" collapsed="false">
      <c r="A64" s="3" t="s">
        <v>90</v>
      </c>
      <c r="B64" s="4" t="s">
        <v>21</v>
      </c>
      <c r="C64" s="4" t="s">
        <v>18</v>
      </c>
      <c r="D64" s="5" t="n">
        <v>46209</v>
      </c>
      <c r="E64" s="4" t="s">
        <v>13</v>
      </c>
      <c r="F64" s="4" t="s">
        <v>24</v>
      </c>
      <c r="G64" s="4" t="s">
        <v>49</v>
      </c>
      <c r="H64" s="6" t="str">
        <f aca="false">IF(D64&lt;&gt;"","Confirmed","Follow up")</f>
        <v>Confirmed</v>
      </c>
      <c r="I64" s="6" t="str">
        <f aca="false">IF(H64="Follow up",COUNTIF($H$3:H64,"Follow up"),"")</f>
        <v/>
      </c>
    </row>
    <row r="65" customFormat="false" ht="15" hidden="false" customHeight="false" outlineLevel="0" collapsed="false">
      <c r="A65" s="3" t="s">
        <v>91</v>
      </c>
      <c r="B65" s="4" t="s">
        <v>17</v>
      </c>
      <c r="C65" s="4" t="s">
        <v>12</v>
      </c>
      <c r="D65" s="5" t="n">
        <v>46217</v>
      </c>
      <c r="E65" s="4" t="s">
        <v>13</v>
      </c>
      <c r="F65" s="4" t="s">
        <v>14</v>
      </c>
      <c r="G65" s="4"/>
      <c r="H65" s="6" t="str">
        <f aca="false">IF(D65&lt;&gt;"","Confirmed","Follow up")</f>
        <v>Confirmed</v>
      </c>
      <c r="I65" s="6" t="str">
        <f aca="false">IF(H65="Follow up",COUNTIF($H$3:H65,"Follow up"),"")</f>
        <v/>
      </c>
    </row>
    <row r="66" customFormat="false" ht="15" hidden="false" customHeight="false" outlineLevel="0" collapsed="false">
      <c r="A66" s="3" t="s">
        <v>92</v>
      </c>
      <c r="B66" s="4" t="s">
        <v>11</v>
      </c>
      <c r="C66" s="4" t="s">
        <v>12</v>
      </c>
      <c r="D66" s="5" t="n">
        <v>46226</v>
      </c>
      <c r="E66" s="4" t="s">
        <v>13</v>
      </c>
      <c r="F66" s="4" t="s">
        <v>24</v>
      </c>
      <c r="G66" s="4" t="s">
        <v>49</v>
      </c>
      <c r="H66" s="6" t="str">
        <f aca="false">IF(D66&lt;&gt;"","Confirmed","Follow up")</f>
        <v>Confirmed</v>
      </c>
      <c r="I66" s="6" t="str">
        <f aca="false">IF(H66="Follow up",COUNTIF($H$3:H66,"Follow up"),"")</f>
        <v/>
      </c>
    </row>
    <row r="67" customFormat="false" ht="15" hidden="false" customHeight="false" outlineLevel="0" collapsed="false">
      <c r="A67" s="3" t="s">
        <v>93</v>
      </c>
      <c r="B67" s="4" t="s">
        <v>11</v>
      </c>
      <c r="C67" s="4" t="s">
        <v>56</v>
      </c>
      <c r="D67" s="5" t="n">
        <v>46224</v>
      </c>
      <c r="E67" s="4" t="s">
        <v>13</v>
      </c>
      <c r="F67" s="4" t="s">
        <v>24</v>
      </c>
      <c r="G67" s="4" t="s">
        <v>49</v>
      </c>
      <c r="H67" s="6" t="str">
        <f aca="false">IF(D67&lt;&gt;"","Confirmed","Follow up")</f>
        <v>Confirmed</v>
      </c>
      <c r="I67" s="6" t="str">
        <f aca="false">IF(H67="Follow up",COUNTIF($H$3:H67,"Follow up"),"")</f>
        <v/>
      </c>
    </row>
    <row r="68" customFormat="false" ht="15" hidden="false" customHeight="false" outlineLevel="0" collapsed="false">
      <c r="A68" s="3" t="s">
        <v>94</v>
      </c>
      <c r="B68" s="4" t="s">
        <v>21</v>
      </c>
      <c r="C68" s="4" t="s">
        <v>18</v>
      </c>
      <c r="D68" s="5" t="n">
        <v>46212</v>
      </c>
      <c r="E68" s="4" t="s">
        <v>13</v>
      </c>
      <c r="F68" s="4" t="s">
        <v>14</v>
      </c>
      <c r="G68" s="4"/>
      <c r="H68" s="6" t="str">
        <f aca="false">IF(D68&lt;&gt;"","Confirmed","Follow up")</f>
        <v>Confirmed</v>
      </c>
      <c r="I68" s="6" t="str">
        <f aca="false">IF(H68="Follow up",COUNTIF($H$3:H68,"Follow up"),"")</f>
        <v/>
      </c>
    </row>
    <row r="69" customFormat="false" ht="15" hidden="false" customHeight="false" outlineLevel="0" collapsed="false">
      <c r="A69" s="3" t="s">
        <v>95</v>
      </c>
      <c r="B69" s="4" t="s">
        <v>17</v>
      </c>
      <c r="C69" s="4" t="s">
        <v>56</v>
      </c>
      <c r="D69" s="5" t="n">
        <v>46219</v>
      </c>
      <c r="E69" s="4" t="s">
        <v>13</v>
      </c>
      <c r="F69" s="4" t="s">
        <v>14</v>
      </c>
      <c r="G69" s="4" t="s">
        <v>49</v>
      </c>
      <c r="H69" s="6" t="str">
        <f aca="false">IF(D69&lt;&gt;"","Confirmed","Follow up")</f>
        <v>Confirmed</v>
      </c>
      <c r="I69" s="6" t="str">
        <f aca="false">IF(H69="Follow up",COUNTIF($H$3:H69,"Follow up"),"")</f>
        <v/>
      </c>
    </row>
    <row r="70" customFormat="false" ht="15" hidden="false" customHeight="false" outlineLevel="0" collapsed="false">
      <c r="A70" s="3" t="s">
        <v>96</v>
      </c>
      <c r="B70" s="4" t="s">
        <v>17</v>
      </c>
      <c r="C70" s="4" t="s">
        <v>12</v>
      </c>
      <c r="D70" s="5" t="n">
        <v>46218</v>
      </c>
      <c r="E70" s="4" t="s">
        <v>13</v>
      </c>
      <c r="F70" s="4" t="s">
        <v>24</v>
      </c>
      <c r="G70" s="4" t="s">
        <v>19</v>
      </c>
      <c r="H70" s="6" t="str">
        <f aca="false">IF(D70&lt;&gt;"","Confirmed","Follow up")</f>
        <v>Confirmed</v>
      </c>
      <c r="I70" s="6" t="str">
        <f aca="false">IF(H70="Follow up",COUNTIF($H$3:H70,"Follow up"),"")</f>
        <v/>
      </c>
    </row>
    <row r="71" customFormat="false" ht="15" hidden="false" customHeight="false" outlineLevel="0" collapsed="false">
      <c r="A71" s="3" t="s">
        <v>97</v>
      </c>
      <c r="B71" s="4" t="s">
        <v>21</v>
      </c>
      <c r="C71" s="4" t="s">
        <v>12</v>
      </c>
      <c r="D71" s="5" t="n">
        <v>46209</v>
      </c>
      <c r="E71" s="4" t="s">
        <v>13</v>
      </c>
      <c r="F71" s="4" t="s">
        <v>14</v>
      </c>
      <c r="G71" s="4" t="s">
        <v>15</v>
      </c>
      <c r="H71" s="6" t="str">
        <f aca="false">IF(D71&lt;&gt;"","Confirmed","Follow up")</f>
        <v>Confirmed</v>
      </c>
      <c r="I71" s="6" t="str">
        <f aca="false">IF(H71="Follow up",COUNTIF($H$3:H71,"Follow up"),"")</f>
        <v/>
      </c>
    </row>
    <row r="72" customFormat="false" ht="15" hidden="false" customHeight="false" outlineLevel="0" collapsed="false">
      <c r="A72" s="3" t="s">
        <v>98</v>
      </c>
      <c r="B72" s="4" t="s">
        <v>17</v>
      </c>
      <c r="C72" s="4" t="s">
        <v>12</v>
      </c>
      <c r="D72" s="5" t="n">
        <v>46217</v>
      </c>
      <c r="E72" s="4" t="s">
        <v>13</v>
      </c>
      <c r="F72" s="4" t="s">
        <v>14</v>
      </c>
      <c r="G72" s="4" t="s">
        <v>19</v>
      </c>
      <c r="H72" s="6" t="str">
        <f aca="false">IF(D72&lt;&gt;"","Confirmed","Follow up")</f>
        <v>Confirmed</v>
      </c>
      <c r="I72" s="6" t="str">
        <f aca="false">IF(H72="Follow up",COUNTIF($H$3:H72,"Follow up"),"")</f>
        <v/>
      </c>
    </row>
    <row r="73" customFormat="false" ht="15" hidden="false" customHeight="false" outlineLevel="0" collapsed="false">
      <c r="A73" s="3" t="s">
        <v>99</v>
      </c>
      <c r="B73" s="4" t="s">
        <v>17</v>
      </c>
      <c r="C73" s="4" t="s">
        <v>18</v>
      </c>
      <c r="D73" s="5" t="n">
        <v>46216</v>
      </c>
      <c r="E73" s="4" t="s">
        <v>13</v>
      </c>
      <c r="F73" s="4" t="s">
        <v>14</v>
      </c>
      <c r="G73" s="4" t="s">
        <v>49</v>
      </c>
      <c r="H73" s="6" t="str">
        <f aca="false">IF(D73&lt;&gt;"","Confirmed","Follow up")</f>
        <v>Confirmed</v>
      </c>
      <c r="I73" s="6" t="str">
        <f aca="false">IF(H73="Follow up",COUNTIF($H$3:H73,"Follow up"),"")</f>
        <v/>
      </c>
    </row>
    <row r="74" customFormat="false" ht="15" hidden="false" customHeight="false" outlineLevel="0" collapsed="false">
      <c r="A74" s="3" t="s">
        <v>100</v>
      </c>
      <c r="B74" s="4" t="s">
        <v>11</v>
      </c>
      <c r="C74" s="4" t="s">
        <v>12</v>
      </c>
      <c r="D74" s="5"/>
      <c r="E74" s="4" t="s">
        <v>13</v>
      </c>
      <c r="F74" s="4" t="s">
        <v>24</v>
      </c>
      <c r="G74" s="4" t="s">
        <v>29</v>
      </c>
      <c r="H74" s="6" t="str">
        <f aca="false">IF(D74&lt;&gt;"","Confirmed","Follow up")</f>
        <v>Follow up</v>
      </c>
      <c r="I74" s="6" t="n">
        <f aca="false">IF(H74="Follow up",COUNTIF($H$3:H74,"Follow up"),"")</f>
        <v>8</v>
      </c>
    </row>
    <row r="75" customFormat="false" ht="15" hidden="false" customHeight="false" outlineLevel="0" collapsed="false">
      <c r="A75" s="3" t="s">
        <v>101</v>
      </c>
      <c r="B75" s="4" t="s">
        <v>11</v>
      </c>
      <c r="C75" s="4" t="s">
        <v>12</v>
      </c>
      <c r="D75" s="5" t="n">
        <v>46223</v>
      </c>
      <c r="E75" s="4" t="s">
        <v>13</v>
      </c>
      <c r="F75" s="4" t="s">
        <v>14</v>
      </c>
      <c r="G75" s="4" t="s">
        <v>49</v>
      </c>
      <c r="H75" s="6" t="str">
        <f aca="false">IF(D75&lt;&gt;"","Confirmed","Follow up")</f>
        <v>Confirmed</v>
      </c>
      <c r="I75" s="6" t="str">
        <f aca="false">IF(H75="Follow up",COUNTIF($H$3:H75,"Follow up"),"")</f>
        <v/>
      </c>
    </row>
    <row r="76" customFormat="false" ht="15" hidden="false" customHeight="false" outlineLevel="0" collapsed="false">
      <c r="A76" s="3" t="s">
        <v>102</v>
      </c>
      <c r="B76" s="4" t="s">
        <v>21</v>
      </c>
      <c r="C76" s="4" t="s">
        <v>12</v>
      </c>
      <c r="D76" s="5" t="n">
        <v>46210</v>
      </c>
      <c r="E76" s="4" t="s">
        <v>13</v>
      </c>
      <c r="F76" s="4" t="s">
        <v>14</v>
      </c>
      <c r="G76" s="4"/>
      <c r="H76" s="6" t="str">
        <f aca="false">IF(D76&lt;&gt;"","Confirmed","Follow up")</f>
        <v>Confirmed</v>
      </c>
      <c r="I76" s="6" t="str">
        <f aca="false">IF(H76="Follow up",COUNTIF($H$3:H76,"Follow up"),"")</f>
        <v/>
      </c>
    </row>
    <row r="77" customFormat="false" ht="15" hidden="false" customHeight="false" outlineLevel="0" collapsed="false">
      <c r="A77" s="3" t="s">
        <v>103</v>
      </c>
      <c r="B77" s="4" t="s">
        <v>17</v>
      </c>
      <c r="C77" s="4" t="s">
        <v>12</v>
      </c>
      <c r="D77" s="5" t="n">
        <v>46216</v>
      </c>
      <c r="E77" s="4" t="s">
        <v>13</v>
      </c>
      <c r="F77" s="4" t="s">
        <v>14</v>
      </c>
      <c r="G77" s="4" t="s">
        <v>49</v>
      </c>
      <c r="H77" s="6" t="str">
        <f aca="false">IF(D77&lt;&gt;"","Confirmed","Follow up")</f>
        <v>Confirmed</v>
      </c>
      <c r="I77" s="6" t="str">
        <f aca="false">IF(H77="Follow up",COUNTIF($H$3:H77,"Follow up"),"")</f>
        <v/>
      </c>
    </row>
    <row r="78" customFormat="false" ht="15" hidden="false" customHeight="false" outlineLevel="0" collapsed="false">
      <c r="A78" s="3" t="s">
        <v>104</v>
      </c>
      <c r="B78" s="4" t="s">
        <v>11</v>
      </c>
      <c r="C78" s="4" t="s">
        <v>18</v>
      </c>
      <c r="D78" s="5" t="n">
        <v>46224</v>
      </c>
      <c r="E78" s="4" t="s">
        <v>13</v>
      </c>
      <c r="F78" s="4" t="s">
        <v>14</v>
      </c>
      <c r="G78" s="4"/>
      <c r="H78" s="6" t="str">
        <f aca="false">IF(D78&lt;&gt;"","Confirmed","Follow up")</f>
        <v>Confirmed</v>
      </c>
      <c r="I78" s="6" t="str">
        <f aca="false">IF(H78="Follow up",COUNTIF($H$3:H78,"Follow up"),"")</f>
        <v/>
      </c>
    </row>
    <row r="79" customFormat="false" ht="15" hidden="false" customHeight="false" outlineLevel="0" collapsed="false">
      <c r="A79" s="3" t="s">
        <v>105</v>
      </c>
      <c r="B79" s="4" t="s">
        <v>11</v>
      </c>
      <c r="C79" s="4" t="s">
        <v>12</v>
      </c>
      <c r="D79" s="5" t="n">
        <v>46226</v>
      </c>
      <c r="E79" s="4" t="s">
        <v>13</v>
      </c>
      <c r="F79" s="4" t="s">
        <v>14</v>
      </c>
      <c r="G79" s="4"/>
      <c r="H79" s="6" t="str">
        <f aca="false">IF(D79&lt;&gt;"","Confirmed","Follow up")</f>
        <v>Confirmed</v>
      </c>
      <c r="I79" s="6" t="str">
        <f aca="false">IF(H79="Follow up",COUNTIF($H$3:H79,"Follow up"),"")</f>
        <v/>
      </c>
    </row>
    <row r="80" customFormat="false" ht="15" hidden="false" customHeight="false" outlineLevel="0" collapsed="false">
      <c r="A80" s="3" t="s">
        <v>106</v>
      </c>
      <c r="B80" s="4" t="s">
        <v>21</v>
      </c>
      <c r="C80" s="4" t="s">
        <v>37</v>
      </c>
      <c r="D80" s="5" t="n">
        <v>46211</v>
      </c>
      <c r="E80" s="4" t="s">
        <v>13</v>
      </c>
      <c r="F80" s="4" t="s">
        <v>24</v>
      </c>
      <c r="G80" s="4"/>
      <c r="H80" s="6" t="str">
        <f aca="false">IF(D80&lt;&gt;"","Confirmed","Follow up")</f>
        <v>Confirmed</v>
      </c>
      <c r="I80" s="6" t="str">
        <f aca="false">IF(H80="Follow up",COUNTIF($H$3:H80,"Follow up"),"")</f>
        <v/>
      </c>
    </row>
    <row r="81" customFormat="false" ht="15" hidden="false" customHeight="false" outlineLevel="0" collapsed="false">
      <c r="A81" s="3" t="s">
        <v>107</v>
      </c>
      <c r="B81" s="4" t="s">
        <v>21</v>
      </c>
      <c r="C81" s="4" t="s">
        <v>12</v>
      </c>
      <c r="D81" s="5" t="n">
        <v>46212</v>
      </c>
      <c r="E81" s="4" t="s">
        <v>13</v>
      </c>
      <c r="F81" s="4" t="s">
        <v>24</v>
      </c>
      <c r="G81" s="4"/>
      <c r="H81" s="6" t="str">
        <f aca="false">IF(D81&lt;&gt;"","Confirmed","Follow up")</f>
        <v>Confirmed</v>
      </c>
      <c r="I81" s="6" t="str">
        <f aca="false">IF(H81="Follow up",COUNTIF($H$3:H81,"Follow up"),"")</f>
        <v/>
      </c>
    </row>
    <row r="82" customFormat="false" ht="15" hidden="false" customHeight="false" outlineLevel="0" collapsed="false">
      <c r="A82" s="3" t="s">
        <v>108</v>
      </c>
      <c r="B82" s="4" t="s">
        <v>11</v>
      </c>
      <c r="C82" s="4" t="s">
        <v>12</v>
      </c>
      <c r="D82" s="5" t="n">
        <v>46223</v>
      </c>
      <c r="E82" s="4" t="s">
        <v>13</v>
      </c>
      <c r="F82" s="4" t="s">
        <v>24</v>
      </c>
      <c r="G82" s="4" t="s">
        <v>15</v>
      </c>
      <c r="H82" s="6" t="str">
        <f aca="false">IF(D82&lt;&gt;"","Confirmed","Follow up")</f>
        <v>Confirmed</v>
      </c>
      <c r="I82" s="6" t="str">
        <f aca="false">IF(H82="Follow up",COUNTIF($H$3:H82,"Follow up"),"")</f>
        <v/>
      </c>
    </row>
    <row r="83" customFormat="false" ht="15" hidden="false" customHeight="false" outlineLevel="0" collapsed="false">
      <c r="A83" s="3" t="s">
        <v>109</v>
      </c>
      <c r="B83" s="4" t="s">
        <v>21</v>
      </c>
      <c r="C83" s="4" t="s">
        <v>18</v>
      </c>
      <c r="D83" s="5"/>
      <c r="E83" s="4" t="s">
        <v>13</v>
      </c>
      <c r="F83" s="4" t="s">
        <v>24</v>
      </c>
      <c r="G83" s="4" t="s">
        <v>26</v>
      </c>
      <c r="H83" s="6" t="str">
        <f aca="false">IF(D83&lt;&gt;"","Confirmed","Follow up")</f>
        <v>Follow up</v>
      </c>
      <c r="I83" s="6" t="n">
        <f aca="false">IF(H83="Follow up",COUNTIF($H$3:H83,"Follow up"),"")</f>
        <v>9</v>
      </c>
    </row>
    <row r="84" customFormat="false" ht="15" hidden="false" customHeight="false" outlineLevel="0" collapsed="false">
      <c r="A84" s="3" t="s">
        <v>110</v>
      </c>
      <c r="B84" s="4" t="s">
        <v>21</v>
      </c>
      <c r="C84" s="4" t="s">
        <v>12</v>
      </c>
      <c r="D84" s="5" t="n">
        <v>46211</v>
      </c>
      <c r="E84" s="4" t="s">
        <v>13</v>
      </c>
      <c r="F84" s="4" t="s">
        <v>14</v>
      </c>
      <c r="G84" s="4" t="s">
        <v>22</v>
      </c>
      <c r="H84" s="6" t="str">
        <f aca="false">IF(D84&lt;&gt;"","Confirmed","Follow up")</f>
        <v>Confirmed</v>
      </c>
      <c r="I84" s="6" t="str">
        <f aca="false">IF(H84="Follow up",COUNTIF($H$3:H84,"Follow up"),"")</f>
        <v/>
      </c>
    </row>
    <row r="85" customFormat="false" ht="15" hidden="false" customHeight="false" outlineLevel="0" collapsed="false">
      <c r="A85" s="3" t="s">
        <v>111</v>
      </c>
      <c r="B85" s="4" t="s">
        <v>17</v>
      </c>
      <c r="C85" s="4" t="s">
        <v>12</v>
      </c>
      <c r="D85" s="5" t="n">
        <v>46216</v>
      </c>
      <c r="E85" s="4" t="s">
        <v>13</v>
      </c>
      <c r="F85" s="4" t="s">
        <v>24</v>
      </c>
      <c r="G85" s="4"/>
      <c r="H85" s="6" t="str">
        <f aca="false">IF(D85&lt;&gt;"","Confirmed","Follow up")</f>
        <v>Confirmed</v>
      </c>
      <c r="I85" s="6" t="str">
        <f aca="false">IF(H85="Follow up",COUNTIF($H$3:H85,"Follow up"),"")</f>
        <v/>
      </c>
    </row>
    <row r="86" customFormat="false" ht="15" hidden="false" customHeight="false" outlineLevel="0" collapsed="false">
      <c r="A86" s="3" t="s">
        <v>112</v>
      </c>
      <c r="B86" s="4" t="s">
        <v>11</v>
      </c>
      <c r="C86" s="4" t="s">
        <v>56</v>
      </c>
      <c r="D86" s="5" t="n">
        <v>46224</v>
      </c>
      <c r="E86" s="4" t="s">
        <v>13</v>
      </c>
      <c r="F86" s="4" t="s">
        <v>14</v>
      </c>
      <c r="G86" s="4" t="s">
        <v>49</v>
      </c>
      <c r="H86" s="6" t="str">
        <f aca="false">IF(D86&lt;&gt;"","Confirmed","Follow up")</f>
        <v>Confirmed</v>
      </c>
      <c r="I86" s="6" t="str">
        <f aca="false">IF(H86="Follow up",COUNTIF($H$3:H86,"Follow up"),"")</f>
        <v/>
      </c>
    </row>
    <row r="87" customFormat="false" ht="15" hidden="false" customHeight="false" outlineLevel="0" collapsed="false">
      <c r="A87" s="3" t="s">
        <v>113</v>
      </c>
      <c r="B87" s="4" t="s">
        <v>21</v>
      </c>
      <c r="C87" s="4" t="s">
        <v>12</v>
      </c>
      <c r="D87" s="5" t="n">
        <v>46212</v>
      </c>
      <c r="E87" s="4" t="s">
        <v>13</v>
      </c>
      <c r="F87" s="4" t="s">
        <v>14</v>
      </c>
      <c r="G87" s="4"/>
      <c r="H87" s="6" t="str">
        <f aca="false">IF(D87&lt;&gt;"","Confirmed","Follow up")</f>
        <v>Confirmed</v>
      </c>
      <c r="I87" s="6" t="str">
        <f aca="false">IF(H87="Follow up",COUNTIF($H$3:H87,"Follow up"),"")</f>
        <v/>
      </c>
    </row>
    <row r="88" customFormat="false" ht="15" hidden="false" customHeight="false" outlineLevel="0" collapsed="false">
      <c r="A88" s="3" t="s">
        <v>114</v>
      </c>
      <c r="B88" s="4" t="s">
        <v>11</v>
      </c>
      <c r="C88" s="4" t="s">
        <v>12</v>
      </c>
      <c r="D88" s="5" t="n">
        <v>46223</v>
      </c>
      <c r="E88" s="4" t="s">
        <v>13</v>
      </c>
      <c r="F88" s="4" t="s">
        <v>24</v>
      </c>
      <c r="G88" s="4"/>
      <c r="H88" s="6" t="str">
        <f aca="false">IF(D88&lt;&gt;"","Confirmed","Follow up")</f>
        <v>Confirmed</v>
      </c>
      <c r="I88" s="6" t="str">
        <f aca="false">IF(H88="Follow up",COUNTIF($H$3:H88,"Follow up"),"")</f>
        <v/>
      </c>
    </row>
    <row r="89" customFormat="false" ht="15" hidden="false" customHeight="false" outlineLevel="0" collapsed="false">
      <c r="A89" s="3" t="s">
        <v>115</v>
      </c>
      <c r="B89" s="4" t="s">
        <v>17</v>
      </c>
      <c r="C89" s="4" t="s">
        <v>12</v>
      </c>
      <c r="D89" s="5" t="n">
        <v>46216</v>
      </c>
      <c r="E89" s="4" t="s">
        <v>13</v>
      </c>
      <c r="F89" s="4" t="s">
        <v>14</v>
      </c>
      <c r="G89" s="4" t="s">
        <v>15</v>
      </c>
      <c r="H89" s="6" t="str">
        <f aca="false">IF(D89&lt;&gt;"","Confirmed","Follow up")</f>
        <v>Confirmed</v>
      </c>
      <c r="I89" s="6" t="str">
        <f aca="false">IF(H89="Follow up",COUNTIF($H$3:H89,"Follow up"),"")</f>
        <v/>
      </c>
    </row>
    <row r="90" customFormat="false" ht="15" hidden="false" customHeight="false" outlineLevel="0" collapsed="false">
      <c r="A90" s="3" t="s">
        <v>116</v>
      </c>
      <c r="B90" s="4" t="s">
        <v>11</v>
      </c>
      <c r="C90" s="4" t="s">
        <v>18</v>
      </c>
      <c r="D90" s="5" t="n">
        <v>46224</v>
      </c>
      <c r="E90" s="4" t="s">
        <v>13</v>
      </c>
      <c r="F90" s="4" t="s">
        <v>14</v>
      </c>
      <c r="G90" s="4"/>
      <c r="H90" s="6" t="str">
        <f aca="false">IF(D90&lt;&gt;"","Confirmed","Follow up")</f>
        <v>Confirmed</v>
      </c>
      <c r="I90" s="6" t="str">
        <f aca="false">IF(H90="Follow up",COUNTIF($H$3:H90,"Follow up"),"")</f>
        <v/>
      </c>
    </row>
    <row r="91" customFormat="false" ht="15" hidden="false" customHeight="false" outlineLevel="0" collapsed="false">
      <c r="A91" s="3" t="s">
        <v>117</v>
      </c>
      <c r="B91" s="4" t="s">
        <v>17</v>
      </c>
      <c r="C91" s="4" t="s">
        <v>18</v>
      </c>
      <c r="D91" s="5" t="n">
        <v>46219</v>
      </c>
      <c r="E91" s="4" t="s">
        <v>13</v>
      </c>
      <c r="F91" s="4" t="s">
        <v>14</v>
      </c>
      <c r="G91" s="4"/>
      <c r="H91" s="6" t="str">
        <f aca="false">IF(D91&lt;&gt;"","Confirmed","Follow up")</f>
        <v>Confirmed</v>
      </c>
      <c r="I91" s="6" t="str">
        <f aca="false">IF(H91="Follow up",COUNTIF($H$3:H91,"Follow up"),"")</f>
        <v/>
      </c>
    </row>
    <row r="92" customFormat="false" ht="15" hidden="false" customHeight="false" outlineLevel="0" collapsed="false">
      <c r="A92" s="3" t="s">
        <v>118</v>
      </c>
      <c r="B92" s="4" t="s">
        <v>11</v>
      </c>
      <c r="C92" s="4" t="s">
        <v>18</v>
      </c>
      <c r="D92" s="5" t="n">
        <v>46225</v>
      </c>
      <c r="E92" s="4" t="s">
        <v>13</v>
      </c>
      <c r="F92" s="4" t="s">
        <v>14</v>
      </c>
      <c r="G92" s="4" t="s">
        <v>15</v>
      </c>
      <c r="H92" s="6" t="str">
        <f aca="false">IF(D92&lt;&gt;"","Confirmed","Follow up")</f>
        <v>Confirmed</v>
      </c>
      <c r="I92" s="6" t="str">
        <f aca="false">IF(H92="Follow up",COUNTIF($H$3:H92,"Follow up"),"")</f>
        <v/>
      </c>
    </row>
    <row r="93" customFormat="false" ht="15" hidden="false" customHeight="false" outlineLevel="0" collapsed="false">
      <c r="A93" s="3" t="s">
        <v>119</v>
      </c>
      <c r="B93" s="4" t="s">
        <v>21</v>
      </c>
      <c r="C93" s="4" t="s">
        <v>12</v>
      </c>
      <c r="D93" s="5" t="n">
        <v>46210</v>
      </c>
      <c r="E93" s="4" t="s">
        <v>13</v>
      </c>
      <c r="F93" s="4" t="s">
        <v>14</v>
      </c>
      <c r="G93" s="4" t="s">
        <v>49</v>
      </c>
      <c r="H93" s="6" t="str">
        <f aca="false">IF(D93&lt;&gt;"","Confirmed","Follow up")</f>
        <v>Confirmed</v>
      </c>
      <c r="I93" s="6" t="str">
        <f aca="false">IF(H93="Follow up",COUNTIF($H$3:H93,"Follow up"),"")</f>
        <v/>
      </c>
    </row>
    <row r="94" customFormat="false" ht="15" hidden="false" customHeight="false" outlineLevel="0" collapsed="false">
      <c r="A94" s="3" t="s">
        <v>120</v>
      </c>
      <c r="B94" s="4" t="s">
        <v>11</v>
      </c>
      <c r="C94" s="4" t="s">
        <v>12</v>
      </c>
      <c r="D94" s="5" t="n">
        <v>46225</v>
      </c>
      <c r="E94" s="4" t="s">
        <v>13</v>
      </c>
      <c r="F94" s="4" t="s">
        <v>24</v>
      </c>
      <c r="G94" s="4"/>
      <c r="H94" s="6" t="str">
        <f aca="false">IF(D94&lt;&gt;"","Confirmed","Follow up")</f>
        <v>Confirmed</v>
      </c>
      <c r="I94" s="6" t="str">
        <f aca="false">IF(H94="Follow up",COUNTIF($H$3:H94,"Follow up"),"")</f>
        <v/>
      </c>
    </row>
    <row r="95" customFormat="false" ht="15" hidden="false" customHeight="false" outlineLevel="0" collapsed="false">
      <c r="A95" s="3" t="s">
        <v>121</v>
      </c>
      <c r="B95" s="4" t="s">
        <v>21</v>
      </c>
      <c r="C95" s="4" t="s">
        <v>37</v>
      </c>
      <c r="D95" s="5" t="n">
        <v>46212</v>
      </c>
      <c r="E95" s="4" t="s">
        <v>13</v>
      </c>
      <c r="F95" s="4" t="s">
        <v>14</v>
      </c>
      <c r="G95" s="4"/>
      <c r="H95" s="6" t="str">
        <f aca="false">IF(D95&lt;&gt;"","Confirmed","Follow up")</f>
        <v>Confirmed</v>
      </c>
      <c r="I95" s="6" t="str">
        <f aca="false">IF(H95="Follow up",COUNTIF($H$3:H95,"Follow up"),"")</f>
        <v/>
      </c>
    </row>
    <row r="96" customFormat="false" ht="15" hidden="false" customHeight="false" outlineLevel="0" collapsed="false">
      <c r="A96" s="3" t="s">
        <v>122</v>
      </c>
      <c r="B96" s="4" t="s">
        <v>17</v>
      </c>
      <c r="C96" s="4" t="s">
        <v>12</v>
      </c>
      <c r="D96" s="5"/>
      <c r="E96" s="4" t="s">
        <v>13</v>
      </c>
      <c r="F96" s="4" t="s">
        <v>24</v>
      </c>
      <c r="G96" s="4" t="s">
        <v>29</v>
      </c>
      <c r="H96" s="6" t="str">
        <f aca="false">IF(D96&lt;&gt;"","Confirmed","Follow up")</f>
        <v>Follow up</v>
      </c>
      <c r="I96" s="6" t="n">
        <f aca="false">IF(H96="Follow up",COUNTIF($H$3:H96,"Follow up"),"")</f>
        <v>10</v>
      </c>
    </row>
    <row r="97" customFormat="false" ht="15" hidden="false" customHeight="false" outlineLevel="0" collapsed="false">
      <c r="A97" s="3" t="s">
        <v>123</v>
      </c>
      <c r="B97" s="4" t="s">
        <v>11</v>
      </c>
      <c r="C97" s="4" t="s">
        <v>37</v>
      </c>
      <c r="D97" s="5" t="n">
        <v>46226</v>
      </c>
      <c r="E97" s="4" t="s">
        <v>13</v>
      </c>
      <c r="F97" s="4" t="s">
        <v>14</v>
      </c>
      <c r="G97" s="4" t="s">
        <v>49</v>
      </c>
      <c r="H97" s="6" t="str">
        <f aca="false">IF(D97&lt;&gt;"","Confirmed","Follow up")</f>
        <v>Confirmed</v>
      </c>
      <c r="I97" s="6" t="str">
        <f aca="false">IF(H97="Follow up",COUNTIF($H$3:H97,"Follow up"),"")</f>
        <v/>
      </c>
    </row>
    <row r="98" customFormat="false" ht="15" hidden="false" customHeight="false" outlineLevel="0" collapsed="false">
      <c r="A98" s="3" t="s">
        <v>124</v>
      </c>
      <c r="B98" s="4" t="s">
        <v>17</v>
      </c>
      <c r="C98" s="4" t="s">
        <v>18</v>
      </c>
      <c r="D98" s="5" t="n">
        <v>46219</v>
      </c>
      <c r="E98" s="4" t="s">
        <v>13</v>
      </c>
      <c r="F98" s="4" t="s">
        <v>14</v>
      </c>
      <c r="G98" s="4"/>
      <c r="H98" s="6" t="str">
        <f aca="false">IF(D98&lt;&gt;"","Confirmed","Follow up")</f>
        <v>Confirmed</v>
      </c>
      <c r="I98" s="6" t="str">
        <f aca="false">IF(H98="Follow up",COUNTIF($H$3:H98,"Follow up"),"")</f>
        <v/>
      </c>
    </row>
    <row r="99" customFormat="false" ht="15" hidden="false" customHeight="false" outlineLevel="0" collapsed="false">
      <c r="A99" s="3" t="s">
        <v>125</v>
      </c>
      <c r="B99" s="4" t="s">
        <v>11</v>
      </c>
      <c r="C99" s="4" t="s">
        <v>18</v>
      </c>
      <c r="D99" s="5"/>
      <c r="E99" s="4" t="s">
        <v>13</v>
      </c>
      <c r="F99" s="4" t="s">
        <v>24</v>
      </c>
      <c r="G99" s="4" t="s">
        <v>71</v>
      </c>
      <c r="H99" s="6" t="str">
        <f aca="false">IF(D99&lt;&gt;"","Confirmed","Follow up")</f>
        <v>Follow up</v>
      </c>
      <c r="I99" s="6" t="n">
        <f aca="false">IF(H99="Follow up",COUNTIF($H$3:H99,"Follow up"),"")</f>
        <v>11</v>
      </c>
    </row>
    <row r="100" customFormat="false" ht="15" hidden="false" customHeight="false" outlineLevel="0" collapsed="false">
      <c r="A100" s="3" t="s">
        <v>126</v>
      </c>
      <c r="B100" s="4" t="s">
        <v>21</v>
      </c>
      <c r="C100" s="4" t="s">
        <v>18</v>
      </c>
      <c r="D100" s="5" t="n">
        <v>46212</v>
      </c>
      <c r="E100" s="4" t="s">
        <v>13</v>
      </c>
      <c r="F100" s="4" t="s">
        <v>14</v>
      </c>
      <c r="G100" s="4" t="s">
        <v>49</v>
      </c>
      <c r="H100" s="6" t="str">
        <f aca="false">IF(D100&lt;&gt;"","Confirmed","Follow up")</f>
        <v>Confirmed</v>
      </c>
      <c r="I100" s="6" t="str">
        <f aca="false">IF(H100="Follow up",COUNTIF($H$3:H100,"Follow up"),"")</f>
        <v/>
      </c>
    </row>
    <row r="101" customFormat="false" ht="15" hidden="false" customHeight="false" outlineLevel="0" collapsed="false">
      <c r="A101" s="3" t="s">
        <v>127</v>
      </c>
      <c r="B101" s="4" t="s">
        <v>17</v>
      </c>
      <c r="C101" s="4" t="s">
        <v>12</v>
      </c>
      <c r="D101" s="5" t="n">
        <v>46216</v>
      </c>
      <c r="E101" s="4" t="s">
        <v>13</v>
      </c>
      <c r="F101" s="4" t="s">
        <v>24</v>
      </c>
      <c r="G101" s="4"/>
      <c r="H101" s="6" t="str">
        <f aca="false">IF(D101&lt;&gt;"","Confirmed","Follow up")</f>
        <v>Confirmed</v>
      </c>
      <c r="I101" s="6" t="str">
        <f aca="false">IF(H101="Follow up",COUNTIF($H$3:H101,"Follow up"),"")</f>
        <v/>
      </c>
    </row>
    <row r="102" customFormat="false" ht="15" hidden="false" customHeight="false" outlineLevel="0" collapsed="false">
      <c r="A102" s="3" t="s">
        <v>128</v>
      </c>
      <c r="B102" s="4" t="s">
        <v>17</v>
      </c>
      <c r="C102" s="4" t="s">
        <v>37</v>
      </c>
      <c r="D102" s="5" t="n">
        <v>46219</v>
      </c>
      <c r="E102" s="4" t="s">
        <v>13</v>
      </c>
      <c r="F102" s="4" t="s">
        <v>14</v>
      </c>
      <c r="G102" s="4" t="s">
        <v>15</v>
      </c>
      <c r="H102" s="6" t="str">
        <f aca="false">IF(D102&lt;&gt;"","Confirmed","Follow up")</f>
        <v>Confirmed</v>
      </c>
      <c r="I102" s="6" t="str">
        <f aca="false">IF(H102="Follow up",COUNTIF($H$3:H102,"Follow up"),"")</f>
        <v/>
      </c>
    </row>
    <row r="103" customFormat="false" ht="15" hidden="false" customHeight="false" outlineLevel="0" collapsed="false">
      <c r="A103" s="3" t="s">
        <v>129</v>
      </c>
      <c r="B103" s="4" t="s">
        <v>21</v>
      </c>
      <c r="C103" s="4" t="s">
        <v>18</v>
      </c>
      <c r="D103" s="5" t="n">
        <v>46209</v>
      </c>
      <c r="E103" s="4" t="s">
        <v>13</v>
      </c>
      <c r="F103" s="4" t="s">
        <v>14</v>
      </c>
      <c r="G103" s="4" t="s">
        <v>49</v>
      </c>
      <c r="H103" s="6" t="str">
        <f aca="false">IF(D103&lt;&gt;"","Confirmed","Follow up")</f>
        <v>Confirmed</v>
      </c>
      <c r="I103" s="6" t="str">
        <f aca="false">IF(H103="Follow up",COUNTIF($H$3:H103,"Follow up"),"")</f>
        <v/>
      </c>
    </row>
    <row r="104" customFormat="false" ht="15" hidden="false" customHeight="false" outlineLevel="0" collapsed="false">
      <c r="A104" s="3" t="s">
        <v>130</v>
      </c>
      <c r="B104" s="4" t="s">
        <v>17</v>
      </c>
      <c r="C104" s="4" t="s">
        <v>56</v>
      </c>
      <c r="D104" s="5" t="n">
        <v>46217</v>
      </c>
      <c r="E104" s="4" t="s">
        <v>13</v>
      </c>
      <c r="F104" s="4" t="s">
        <v>24</v>
      </c>
      <c r="G104" s="4" t="s">
        <v>49</v>
      </c>
      <c r="H104" s="6" t="str">
        <f aca="false">IF(D104&lt;&gt;"","Confirmed","Follow up")</f>
        <v>Confirmed</v>
      </c>
      <c r="I104" s="6" t="str">
        <f aca="false">IF(H104="Follow up",COUNTIF($H$3:H104,"Follow up"),"")</f>
        <v/>
      </c>
    </row>
    <row r="105" customFormat="false" ht="15" hidden="false" customHeight="false" outlineLevel="0" collapsed="false">
      <c r="A105" s="3" t="s">
        <v>131</v>
      </c>
      <c r="B105" s="4" t="s">
        <v>21</v>
      </c>
      <c r="C105" s="4" t="s">
        <v>12</v>
      </c>
      <c r="D105" s="5" t="n">
        <v>46211</v>
      </c>
      <c r="E105" s="4" t="s">
        <v>13</v>
      </c>
      <c r="F105" s="4" t="s">
        <v>14</v>
      </c>
      <c r="G105" s="4"/>
      <c r="H105" s="6" t="str">
        <f aca="false">IF(D105&lt;&gt;"","Confirmed","Follow up")</f>
        <v>Confirmed</v>
      </c>
      <c r="I105" s="6" t="str">
        <f aca="false">IF(H105="Follow up",COUNTIF($H$3:H105,"Follow up"),"")</f>
        <v/>
      </c>
    </row>
    <row r="106" customFormat="false" ht="15" hidden="false" customHeight="false" outlineLevel="0" collapsed="false">
      <c r="A106" s="3" t="s">
        <v>132</v>
      </c>
      <c r="B106" s="4" t="s">
        <v>17</v>
      </c>
      <c r="C106" s="4" t="s">
        <v>18</v>
      </c>
      <c r="D106" s="5" t="n">
        <v>46219</v>
      </c>
      <c r="E106" s="4" t="s">
        <v>13</v>
      </c>
      <c r="F106" s="4" t="s">
        <v>14</v>
      </c>
      <c r="G106" s="4"/>
      <c r="H106" s="6" t="str">
        <f aca="false">IF(D106&lt;&gt;"","Confirmed","Follow up")</f>
        <v>Confirmed</v>
      </c>
      <c r="I106" s="6" t="str">
        <f aca="false">IF(H106="Follow up",COUNTIF($H$3:H106,"Follow up"),"")</f>
        <v/>
      </c>
    </row>
    <row r="107" customFormat="false" ht="15" hidden="false" customHeight="false" outlineLevel="0" collapsed="false">
      <c r="A107" s="3" t="s">
        <v>133</v>
      </c>
      <c r="B107" s="4" t="s">
        <v>21</v>
      </c>
      <c r="C107" s="4" t="s">
        <v>18</v>
      </c>
      <c r="D107" s="5" t="n">
        <v>46212</v>
      </c>
      <c r="E107" s="4" t="s">
        <v>13</v>
      </c>
      <c r="F107" s="4" t="s">
        <v>24</v>
      </c>
      <c r="G107" s="4"/>
      <c r="H107" s="6" t="str">
        <f aca="false">IF(D107&lt;&gt;"","Confirmed","Follow up")</f>
        <v>Confirmed</v>
      </c>
      <c r="I107" s="6" t="str">
        <f aca="false">IF(H107="Follow up",COUNTIF($H$3:H107,"Follow up"),"")</f>
        <v/>
      </c>
    </row>
    <row r="108" customFormat="false" ht="15" hidden="false" customHeight="false" outlineLevel="0" collapsed="false">
      <c r="A108" s="3" t="s">
        <v>134</v>
      </c>
      <c r="B108" s="4" t="s">
        <v>17</v>
      </c>
      <c r="C108" s="4" t="s">
        <v>12</v>
      </c>
      <c r="D108" s="5" t="n">
        <v>46218</v>
      </c>
      <c r="E108" s="4" t="s">
        <v>13</v>
      </c>
      <c r="F108" s="4" t="s">
        <v>24</v>
      </c>
      <c r="G108" s="4"/>
      <c r="H108" s="6" t="str">
        <f aca="false">IF(D108&lt;&gt;"","Confirmed","Follow up")</f>
        <v>Confirmed</v>
      </c>
      <c r="I108" s="6" t="str">
        <f aca="false">IF(H108="Follow up",COUNTIF($H$3:H108,"Follow up"),"")</f>
        <v/>
      </c>
    </row>
    <row r="109" customFormat="false" ht="15" hidden="false" customHeight="false" outlineLevel="0" collapsed="false">
      <c r="A109" s="3" t="s">
        <v>135</v>
      </c>
      <c r="B109" s="4" t="s">
        <v>17</v>
      </c>
      <c r="C109" s="4" t="s">
        <v>37</v>
      </c>
      <c r="D109" s="5"/>
      <c r="E109" s="4" t="s">
        <v>28</v>
      </c>
      <c r="F109" s="4" t="s">
        <v>24</v>
      </c>
      <c r="G109" s="4" t="s">
        <v>136</v>
      </c>
      <c r="H109" s="6" t="str">
        <f aca="false">IF(D109&lt;&gt;"","Confirmed","Follow up")</f>
        <v>Follow up</v>
      </c>
      <c r="I109" s="6" t="n">
        <f aca="false">IF(H109="Follow up",COUNTIF($H$3:H109,"Follow up"),"")</f>
        <v>12</v>
      </c>
    </row>
    <row r="110" customFormat="false" ht="15" hidden="false" customHeight="false" outlineLevel="0" collapsed="false">
      <c r="A110" s="3" t="s">
        <v>137</v>
      </c>
      <c r="B110" s="4" t="s">
        <v>17</v>
      </c>
      <c r="C110" s="4" t="s">
        <v>12</v>
      </c>
      <c r="D110" s="5" t="n">
        <v>46216</v>
      </c>
      <c r="E110" s="4" t="s">
        <v>13</v>
      </c>
      <c r="F110" s="4" t="s">
        <v>14</v>
      </c>
      <c r="G110" s="4"/>
      <c r="H110" s="6" t="str">
        <f aca="false">IF(D110&lt;&gt;"","Confirmed","Follow up")</f>
        <v>Confirmed</v>
      </c>
      <c r="I110" s="6" t="str">
        <f aca="false">IF(H110="Follow up",COUNTIF($H$3:H110,"Follow up"),"")</f>
        <v/>
      </c>
    </row>
    <row r="111" customFormat="false" ht="15" hidden="false" customHeight="false" outlineLevel="0" collapsed="false">
      <c r="A111" s="3" t="s">
        <v>138</v>
      </c>
      <c r="B111" s="4" t="s">
        <v>17</v>
      </c>
      <c r="C111" s="4" t="s">
        <v>12</v>
      </c>
      <c r="D111" s="5" t="n">
        <v>46218</v>
      </c>
      <c r="E111" s="4" t="s">
        <v>13</v>
      </c>
      <c r="F111" s="4" t="s">
        <v>14</v>
      </c>
      <c r="G111" s="4"/>
      <c r="H111" s="6" t="str">
        <f aca="false">IF(D111&lt;&gt;"","Confirmed","Follow up")</f>
        <v>Confirmed</v>
      </c>
      <c r="I111" s="6" t="str">
        <f aca="false">IF(H111="Follow up",COUNTIF($H$3:H111,"Follow up"),"")</f>
        <v/>
      </c>
    </row>
    <row r="112" customFormat="false" ht="15" hidden="false" customHeight="false" outlineLevel="0" collapsed="false">
      <c r="A112" s="3" t="s">
        <v>139</v>
      </c>
      <c r="B112" s="4" t="s">
        <v>21</v>
      </c>
      <c r="C112" s="4" t="s">
        <v>56</v>
      </c>
      <c r="D112" s="5" t="n">
        <v>46209</v>
      </c>
      <c r="E112" s="4" t="s">
        <v>13</v>
      </c>
      <c r="F112" s="4" t="s">
        <v>24</v>
      </c>
      <c r="G112" s="4" t="s">
        <v>49</v>
      </c>
      <c r="H112" s="6" t="str">
        <f aca="false">IF(D112&lt;&gt;"","Confirmed","Follow up")</f>
        <v>Confirmed</v>
      </c>
      <c r="I112" s="6" t="str">
        <f aca="false">IF(H112="Follow up",COUNTIF($H$3:H112,"Follow up"),"")</f>
        <v/>
      </c>
    </row>
    <row r="113" customFormat="false" ht="15" hidden="false" customHeight="false" outlineLevel="0" collapsed="false">
      <c r="A113" s="3" t="s">
        <v>140</v>
      </c>
      <c r="B113" s="4" t="s">
        <v>17</v>
      </c>
      <c r="C113" s="4" t="s">
        <v>18</v>
      </c>
      <c r="D113" s="5" t="n">
        <v>46218</v>
      </c>
      <c r="E113" s="4" t="s">
        <v>13</v>
      </c>
      <c r="F113" s="4" t="s">
        <v>14</v>
      </c>
      <c r="G113" s="4" t="s">
        <v>22</v>
      </c>
      <c r="H113" s="6" t="str">
        <f aca="false">IF(D113&lt;&gt;"","Confirmed","Follow up")</f>
        <v>Confirmed</v>
      </c>
      <c r="I113" s="6" t="str">
        <f aca="false">IF(H113="Follow up",COUNTIF($H$3:H113,"Follow up"),"")</f>
        <v/>
      </c>
    </row>
    <row r="114" customFormat="false" ht="15" hidden="false" customHeight="false" outlineLevel="0" collapsed="false">
      <c r="A114" s="3" t="s">
        <v>141</v>
      </c>
      <c r="B114" s="4" t="s">
        <v>17</v>
      </c>
      <c r="C114" s="4" t="s">
        <v>12</v>
      </c>
      <c r="D114" s="5" t="n">
        <v>46216</v>
      </c>
      <c r="E114" s="4" t="s">
        <v>13</v>
      </c>
      <c r="F114" s="4" t="s">
        <v>14</v>
      </c>
      <c r="G114" s="4" t="s">
        <v>22</v>
      </c>
      <c r="H114" s="6" t="str">
        <f aca="false">IF(D114&lt;&gt;"","Confirmed","Follow up")</f>
        <v>Confirmed</v>
      </c>
      <c r="I114" s="6" t="str">
        <f aca="false">IF(H114="Follow up",COUNTIF($H$3:H114,"Follow up"),"")</f>
        <v/>
      </c>
    </row>
    <row r="115" customFormat="false" ht="15" hidden="false" customHeight="false" outlineLevel="0" collapsed="false">
      <c r="A115" s="3" t="s">
        <v>142</v>
      </c>
      <c r="B115" s="4" t="s">
        <v>17</v>
      </c>
      <c r="C115" s="4" t="s">
        <v>12</v>
      </c>
      <c r="D115" s="5" t="n">
        <v>46216</v>
      </c>
      <c r="E115" s="4" t="s">
        <v>13</v>
      </c>
      <c r="F115" s="4" t="s">
        <v>14</v>
      </c>
      <c r="G115" s="4"/>
      <c r="H115" s="6" t="str">
        <f aca="false">IF(D115&lt;&gt;"","Confirmed","Follow up")</f>
        <v>Confirmed</v>
      </c>
      <c r="I115" s="6" t="str">
        <f aca="false">IF(H115="Follow up",COUNTIF($H$3:H115,"Follow up"),"")</f>
        <v/>
      </c>
    </row>
    <row r="116" customFormat="false" ht="15" hidden="false" customHeight="false" outlineLevel="0" collapsed="false">
      <c r="A116" s="3" t="s">
        <v>143</v>
      </c>
      <c r="B116" s="4" t="s">
        <v>21</v>
      </c>
      <c r="C116" s="4" t="s">
        <v>18</v>
      </c>
      <c r="D116" s="5" t="n">
        <v>46211</v>
      </c>
      <c r="E116" s="4" t="s">
        <v>13</v>
      </c>
      <c r="F116" s="4" t="s">
        <v>24</v>
      </c>
      <c r="G116" s="4"/>
      <c r="H116" s="6" t="str">
        <f aca="false">IF(D116&lt;&gt;"","Confirmed","Follow up")</f>
        <v>Confirmed</v>
      </c>
      <c r="I116" s="6" t="str">
        <f aca="false">IF(H116="Follow up",COUNTIF($H$3:H116,"Follow up"),"")</f>
        <v/>
      </c>
    </row>
    <row r="117" customFormat="false" ht="15" hidden="false" customHeight="false" outlineLevel="0" collapsed="false">
      <c r="A117" s="3" t="s">
        <v>144</v>
      </c>
      <c r="B117" s="4" t="s">
        <v>21</v>
      </c>
      <c r="C117" s="4" t="s">
        <v>12</v>
      </c>
      <c r="D117" s="5" t="n">
        <v>46211</v>
      </c>
      <c r="E117" s="4" t="s">
        <v>13</v>
      </c>
      <c r="F117" s="4" t="s">
        <v>14</v>
      </c>
      <c r="G117" s="4" t="s">
        <v>19</v>
      </c>
      <c r="H117" s="6" t="str">
        <f aca="false">IF(D117&lt;&gt;"","Confirmed","Follow up")</f>
        <v>Confirmed</v>
      </c>
      <c r="I117" s="6" t="str">
        <f aca="false">IF(H117="Follow up",COUNTIF($H$3:H117,"Follow up"),"")</f>
        <v/>
      </c>
    </row>
    <row r="118" customFormat="false" ht="15" hidden="false" customHeight="false" outlineLevel="0" collapsed="false">
      <c r="A118" s="3" t="s">
        <v>145</v>
      </c>
      <c r="B118" s="4" t="s">
        <v>21</v>
      </c>
      <c r="C118" s="4" t="s">
        <v>12</v>
      </c>
      <c r="D118" s="5" t="n">
        <v>46211</v>
      </c>
      <c r="E118" s="4" t="s">
        <v>13</v>
      </c>
      <c r="F118" s="4" t="s">
        <v>14</v>
      </c>
      <c r="G118" s="4"/>
      <c r="H118" s="6" t="str">
        <f aca="false">IF(D118&lt;&gt;"","Confirmed","Follow up")</f>
        <v>Confirmed</v>
      </c>
      <c r="I118" s="6" t="str">
        <f aca="false">IF(H118="Follow up",COUNTIF($H$3:H118,"Follow up"),"")</f>
        <v/>
      </c>
    </row>
    <row r="119" customFormat="false" ht="15" hidden="false" customHeight="false" outlineLevel="0" collapsed="false">
      <c r="A119" s="3" t="s">
        <v>146</v>
      </c>
      <c r="B119" s="4" t="s">
        <v>11</v>
      </c>
      <c r="C119" s="4" t="s">
        <v>18</v>
      </c>
      <c r="D119" s="5" t="n">
        <v>46226</v>
      </c>
      <c r="E119" s="4" t="s">
        <v>13</v>
      </c>
      <c r="F119" s="4" t="s">
        <v>24</v>
      </c>
      <c r="G119" s="4" t="s">
        <v>15</v>
      </c>
      <c r="H119" s="6" t="str">
        <f aca="false">IF(D119&lt;&gt;"","Confirmed","Follow up")</f>
        <v>Confirmed</v>
      </c>
      <c r="I119" s="6" t="str">
        <f aca="false">IF(H119="Follow up",COUNTIF($H$3:H119,"Follow up"),"")</f>
        <v/>
      </c>
    </row>
    <row r="120" customFormat="false" ht="15" hidden="false" customHeight="false" outlineLevel="0" collapsed="false">
      <c r="A120" s="3" t="s">
        <v>147</v>
      </c>
      <c r="B120" s="4" t="s">
        <v>11</v>
      </c>
      <c r="C120" s="4" t="s">
        <v>12</v>
      </c>
      <c r="D120" s="5" t="n">
        <v>46223</v>
      </c>
      <c r="E120" s="4" t="s">
        <v>13</v>
      </c>
      <c r="F120" s="4" t="s">
        <v>14</v>
      </c>
      <c r="G120" s="4" t="s">
        <v>22</v>
      </c>
      <c r="H120" s="6" t="str">
        <f aca="false">IF(D120&lt;&gt;"","Confirmed","Follow up")</f>
        <v>Confirmed</v>
      </c>
      <c r="I120" s="6" t="str">
        <f aca="false">IF(H120="Follow up",COUNTIF($H$3:H120,"Follow up"),"")</f>
        <v/>
      </c>
    </row>
    <row r="121" customFormat="false" ht="15" hidden="false" customHeight="false" outlineLevel="0" collapsed="false">
      <c r="A121" s="3" t="s">
        <v>148</v>
      </c>
      <c r="B121" s="4" t="s">
        <v>17</v>
      </c>
      <c r="C121" s="4" t="s">
        <v>12</v>
      </c>
      <c r="D121" s="5"/>
      <c r="E121" s="4" t="s">
        <v>13</v>
      </c>
      <c r="F121" s="4" t="s">
        <v>24</v>
      </c>
      <c r="G121" s="4" t="s">
        <v>71</v>
      </c>
      <c r="H121" s="6" t="str">
        <f aca="false">IF(D121&lt;&gt;"","Confirmed","Follow up")</f>
        <v>Follow up</v>
      </c>
      <c r="I121" s="6" t="n">
        <f aca="false">IF(H121="Follow up",COUNTIF($H$3:H121,"Follow up"),"")</f>
        <v>13</v>
      </c>
    </row>
    <row r="122" customFormat="false" ht="15" hidden="false" customHeight="false" outlineLevel="0" collapsed="false">
      <c r="A122" s="3" t="s">
        <v>149</v>
      </c>
      <c r="B122" s="4" t="s">
        <v>17</v>
      </c>
      <c r="C122" s="4" t="s">
        <v>12</v>
      </c>
      <c r="D122" s="5"/>
      <c r="E122" s="4" t="s">
        <v>13</v>
      </c>
      <c r="F122" s="4" t="s">
        <v>24</v>
      </c>
      <c r="G122" s="4" t="s">
        <v>63</v>
      </c>
      <c r="H122" s="6" t="str">
        <f aca="false">IF(D122&lt;&gt;"","Confirmed","Follow up")</f>
        <v>Follow up</v>
      </c>
      <c r="I122" s="6" t="n">
        <f aca="false">IF(H122="Follow up",COUNTIF($H$3:H122,"Follow up"),"")</f>
        <v>14</v>
      </c>
    </row>
    <row r="123" customFormat="false" ht="15" hidden="false" customHeight="false" outlineLevel="0" collapsed="false">
      <c r="A123" s="3" t="s">
        <v>150</v>
      </c>
      <c r="B123" s="4" t="s">
        <v>21</v>
      </c>
      <c r="C123" s="4" t="s">
        <v>18</v>
      </c>
      <c r="D123" s="5" t="n">
        <v>46210</v>
      </c>
      <c r="E123" s="4" t="s">
        <v>13</v>
      </c>
      <c r="F123" s="4" t="s">
        <v>14</v>
      </c>
      <c r="G123" s="4" t="s">
        <v>22</v>
      </c>
      <c r="H123" s="6" t="str">
        <f aca="false">IF(D123&lt;&gt;"","Confirmed","Follow up")</f>
        <v>Confirmed</v>
      </c>
      <c r="I123" s="6" t="str">
        <f aca="false">IF(H123="Follow up",COUNTIF($H$3:H123,"Follow up"),"")</f>
        <v/>
      </c>
    </row>
    <row r="124" customFormat="false" ht="15" hidden="false" customHeight="false" outlineLevel="0" collapsed="false">
      <c r="A124" s="3" t="s">
        <v>151</v>
      </c>
      <c r="B124" s="4" t="s">
        <v>17</v>
      </c>
      <c r="C124" s="4" t="s">
        <v>18</v>
      </c>
      <c r="D124" s="5" t="n">
        <v>46218</v>
      </c>
      <c r="E124" s="4" t="s">
        <v>13</v>
      </c>
      <c r="F124" s="4" t="s">
        <v>14</v>
      </c>
      <c r="G124" s="4" t="s">
        <v>49</v>
      </c>
      <c r="H124" s="6" t="str">
        <f aca="false">IF(D124&lt;&gt;"","Confirmed","Follow up")</f>
        <v>Confirmed</v>
      </c>
      <c r="I124" s="6" t="str">
        <f aca="false">IF(H124="Follow up",COUNTIF($H$3:H124,"Follow up"),"")</f>
        <v/>
      </c>
    </row>
    <row r="125" customFormat="false" ht="15" hidden="false" customHeight="false" outlineLevel="0" collapsed="false">
      <c r="A125" s="3" t="s">
        <v>152</v>
      </c>
      <c r="B125" s="4" t="s">
        <v>11</v>
      </c>
      <c r="C125" s="4" t="s">
        <v>12</v>
      </c>
      <c r="D125" s="5" t="n">
        <v>46225</v>
      </c>
      <c r="E125" s="4" t="s">
        <v>13</v>
      </c>
      <c r="F125" s="4" t="s">
        <v>14</v>
      </c>
      <c r="G125" s="4" t="s">
        <v>15</v>
      </c>
      <c r="H125" s="6" t="str">
        <f aca="false">IF(D125&lt;&gt;"","Confirmed","Follow up")</f>
        <v>Confirmed</v>
      </c>
      <c r="I125" s="6" t="str">
        <f aca="false">IF(H125="Follow up",COUNTIF($H$3:H125,"Follow up"),"")</f>
        <v/>
      </c>
    </row>
    <row r="126" customFormat="false" ht="15" hidden="false" customHeight="false" outlineLevel="0" collapsed="false">
      <c r="A126" s="3" t="s">
        <v>153</v>
      </c>
      <c r="B126" s="4" t="s">
        <v>17</v>
      </c>
      <c r="C126" s="4" t="s">
        <v>18</v>
      </c>
      <c r="D126" s="5" t="n">
        <v>46219</v>
      </c>
      <c r="E126" s="4" t="s">
        <v>13</v>
      </c>
      <c r="F126" s="4" t="s">
        <v>24</v>
      </c>
      <c r="G126" s="4" t="s">
        <v>22</v>
      </c>
      <c r="H126" s="6" t="str">
        <f aca="false">IF(D126&lt;&gt;"","Confirmed","Follow up")</f>
        <v>Confirmed</v>
      </c>
      <c r="I126" s="6" t="str">
        <f aca="false">IF(H126="Follow up",COUNTIF($H$3:H126,"Follow up"),"")</f>
        <v/>
      </c>
    </row>
    <row r="127" customFormat="false" ht="15" hidden="false" customHeight="false" outlineLevel="0" collapsed="false">
      <c r="A127" s="3" t="s">
        <v>154</v>
      </c>
      <c r="B127" s="4" t="s">
        <v>21</v>
      </c>
      <c r="C127" s="4" t="s">
        <v>56</v>
      </c>
      <c r="D127" s="5" t="n">
        <v>46210</v>
      </c>
      <c r="E127" s="4" t="s">
        <v>13</v>
      </c>
      <c r="F127" s="4" t="s">
        <v>24</v>
      </c>
      <c r="G127" s="4"/>
      <c r="H127" s="6" t="str">
        <f aca="false">IF(D127&lt;&gt;"","Confirmed","Follow up")</f>
        <v>Confirmed</v>
      </c>
      <c r="I127" s="6" t="str">
        <f aca="false">IF(H127="Follow up",COUNTIF($H$3:H127,"Follow up"),"")</f>
        <v/>
      </c>
    </row>
    <row r="128" customFormat="false" ht="15" hidden="false" customHeight="false" outlineLevel="0" collapsed="false">
      <c r="A128" s="3" t="s">
        <v>155</v>
      </c>
      <c r="B128" s="4" t="s">
        <v>21</v>
      </c>
      <c r="C128" s="4" t="s">
        <v>12</v>
      </c>
      <c r="D128" s="5" t="n">
        <v>46210</v>
      </c>
      <c r="E128" s="4" t="s">
        <v>13</v>
      </c>
      <c r="F128" s="4" t="s">
        <v>24</v>
      </c>
      <c r="G128" s="4"/>
      <c r="H128" s="6" t="str">
        <f aca="false">IF(D128&lt;&gt;"","Confirmed","Follow up")</f>
        <v>Confirmed</v>
      </c>
      <c r="I128" s="6" t="str">
        <f aca="false">IF(H128="Follow up",COUNTIF($H$3:H128,"Follow up"),"")</f>
        <v/>
      </c>
    </row>
    <row r="129" customFormat="false" ht="15" hidden="false" customHeight="false" outlineLevel="0" collapsed="false">
      <c r="A129" s="3" t="s">
        <v>156</v>
      </c>
      <c r="B129" s="4" t="s">
        <v>11</v>
      </c>
      <c r="C129" s="4" t="s">
        <v>18</v>
      </c>
      <c r="D129" s="5" t="n">
        <v>46224</v>
      </c>
      <c r="E129" s="4" t="s">
        <v>13</v>
      </c>
      <c r="F129" s="4" t="s">
        <v>14</v>
      </c>
      <c r="G129" s="4" t="s">
        <v>19</v>
      </c>
      <c r="H129" s="6" t="str">
        <f aca="false">IF(D129&lt;&gt;"","Confirmed","Follow up")</f>
        <v>Confirmed</v>
      </c>
      <c r="I129" s="6" t="str">
        <f aca="false">IF(H129="Follow up",COUNTIF($H$3:H129,"Follow up"),"")</f>
        <v/>
      </c>
    </row>
    <row r="130" customFormat="false" ht="15" hidden="false" customHeight="false" outlineLevel="0" collapsed="false">
      <c r="A130" s="3" t="s">
        <v>157</v>
      </c>
      <c r="B130" s="4" t="s">
        <v>17</v>
      </c>
      <c r="C130" s="4" t="s">
        <v>12</v>
      </c>
      <c r="D130" s="5"/>
      <c r="E130" s="4" t="s">
        <v>28</v>
      </c>
      <c r="F130" s="4" t="s">
        <v>24</v>
      </c>
      <c r="G130" s="4" t="s">
        <v>29</v>
      </c>
      <c r="H130" s="6" t="str">
        <f aca="false">IF(D130&lt;&gt;"","Confirmed","Follow up")</f>
        <v>Follow up</v>
      </c>
      <c r="I130" s="6" t="n">
        <f aca="false">IF(H130="Follow up",COUNTIF($H$3:H130,"Follow up"),"")</f>
        <v>15</v>
      </c>
    </row>
    <row r="131" customFormat="false" ht="15" hidden="false" customHeight="false" outlineLevel="0" collapsed="false">
      <c r="A131" s="3" t="s">
        <v>158</v>
      </c>
      <c r="B131" s="4" t="s">
        <v>11</v>
      </c>
      <c r="C131" s="4" t="s">
        <v>18</v>
      </c>
      <c r="D131" s="5" t="n">
        <v>46224</v>
      </c>
      <c r="E131" s="4" t="s">
        <v>13</v>
      </c>
      <c r="F131" s="4" t="s">
        <v>14</v>
      </c>
      <c r="G131" s="4"/>
      <c r="H131" s="6" t="str">
        <f aca="false">IF(D131&lt;&gt;"","Confirmed","Follow up")</f>
        <v>Confirmed</v>
      </c>
      <c r="I131" s="6" t="str">
        <f aca="false">IF(H131="Follow up",COUNTIF($H$3:H131,"Follow up"),"")</f>
        <v/>
      </c>
    </row>
    <row r="132" customFormat="false" ht="15" hidden="false" customHeight="false" outlineLevel="0" collapsed="false">
      <c r="A132" s="3" t="s">
        <v>159</v>
      </c>
      <c r="B132" s="4" t="s">
        <v>21</v>
      </c>
      <c r="C132" s="4" t="s">
        <v>12</v>
      </c>
      <c r="D132" s="5" t="n">
        <v>46211</v>
      </c>
      <c r="E132" s="4" t="s">
        <v>13</v>
      </c>
      <c r="F132" s="4" t="s">
        <v>24</v>
      </c>
      <c r="G132" s="4"/>
      <c r="H132" s="6" t="str">
        <f aca="false">IF(D132&lt;&gt;"","Confirmed","Follow up")</f>
        <v>Confirmed</v>
      </c>
      <c r="I132" s="6" t="str">
        <f aca="false">IF(H132="Follow up",COUNTIF($H$3:H132,"Follow up"),"")</f>
        <v/>
      </c>
    </row>
    <row r="133" customFormat="false" ht="15" hidden="false" customHeight="false" outlineLevel="0" collapsed="false">
      <c r="A133" s="3" t="s">
        <v>160</v>
      </c>
      <c r="B133" s="4" t="s">
        <v>17</v>
      </c>
      <c r="C133" s="4" t="s">
        <v>12</v>
      </c>
      <c r="D133" s="5" t="n">
        <v>46217</v>
      </c>
      <c r="E133" s="4" t="s">
        <v>13</v>
      </c>
      <c r="F133" s="4" t="s">
        <v>14</v>
      </c>
      <c r="G133" s="4" t="s">
        <v>49</v>
      </c>
      <c r="H133" s="6" t="str">
        <f aca="false">IF(D133&lt;&gt;"","Confirmed","Follow up")</f>
        <v>Confirmed</v>
      </c>
      <c r="I133" s="6" t="str">
        <f aca="false">IF(H133="Follow up",COUNTIF($H$3:H133,"Follow up"),"")</f>
        <v/>
      </c>
    </row>
    <row r="134" customFormat="false" ht="15" hidden="false" customHeight="false" outlineLevel="0" collapsed="false">
      <c r="A134" s="3" t="s">
        <v>161</v>
      </c>
      <c r="B134" s="4" t="s">
        <v>11</v>
      </c>
      <c r="C134" s="4" t="s">
        <v>12</v>
      </c>
      <c r="D134" s="5" t="n">
        <v>46224</v>
      </c>
      <c r="E134" s="4" t="s">
        <v>13</v>
      </c>
      <c r="F134" s="4" t="s">
        <v>14</v>
      </c>
      <c r="G134" s="4" t="s">
        <v>22</v>
      </c>
      <c r="H134" s="6" t="str">
        <f aca="false">IF(D134&lt;&gt;"","Confirmed","Follow up")</f>
        <v>Confirmed</v>
      </c>
      <c r="I134" s="6" t="str">
        <f aca="false">IF(H134="Follow up",COUNTIF($H$3:H134,"Follow up"),"")</f>
        <v/>
      </c>
    </row>
    <row r="135" customFormat="false" ht="15" hidden="false" customHeight="false" outlineLevel="0" collapsed="false">
      <c r="A135" s="3" t="s">
        <v>162</v>
      </c>
      <c r="B135" s="4" t="s">
        <v>17</v>
      </c>
      <c r="C135" s="4" t="s">
        <v>18</v>
      </c>
      <c r="D135" s="5" t="n">
        <v>46219</v>
      </c>
      <c r="E135" s="4" t="s">
        <v>13</v>
      </c>
      <c r="F135" s="4" t="s">
        <v>24</v>
      </c>
      <c r="G135" s="4" t="s">
        <v>15</v>
      </c>
      <c r="H135" s="6" t="str">
        <f aca="false">IF(D135&lt;&gt;"","Confirmed","Follow up")</f>
        <v>Confirmed</v>
      </c>
      <c r="I135" s="6" t="str">
        <f aca="false">IF(H135="Follow up",COUNTIF($H$3:H135,"Follow up"),"")</f>
        <v/>
      </c>
    </row>
    <row r="136" customFormat="false" ht="15" hidden="false" customHeight="false" outlineLevel="0" collapsed="false">
      <c r="A136" s="3" t="s">
        <v>163</v>
      </c>
      <c r="B136" s="4" t="s">
        <v>17</v>
      </c>
      <c r="C136" s="4" t="s">
        <v>18</v>
      </c>
      <c r="D136" s="5" t="n">
        <v>46218</v>
      </c>
      <c r="E136" s="4" t="s">
        <v>13</v>
      </c>
      <c r="F136" s="4" t="s">
        <v>14</v>
      </c>
      <c r="G136" s="4"/>
      <c r="H136" s="6" t="str">
        <f aca="false">IF(D136&lt;&gt;"","Confirmed","Follow up")</f>
        <v>Confirmed</v>
      </c>
      <c r="I136" s="6" t="str">
        <f aca="false">IF(H136="Follow up",COUNTIF($H$3:H136,"Follow up"),"")</f>
        <v/>
      </c>
    </row>
    <row r="137" customFormat="false" ht="15" hidden="false" customHeight="false" outlineLevel="0" collapsed="false">
      <c r="A137" s="3" t="s">
        <v>164</v>
      </c>
      <c r="B137" s="4" t="s">
        <v>17</v>
      </c>
      <c r="C137" s="4" t="s">
        <v>12</v>
      </c>
      <c r="D137" s="5" t="n">
        <v>46218</v>
      </c>
      <c r="E137" s="4" t="s">
        <v>13</v>
      </c>
      <c r="F137" s="4" t="s">
        <v>24</v>
      </c>
      <c r="G137" s="4" t="s">
        <v>19</v>
      </c>
      <c r="H137" s="6" t="str">
        <f aca="false">IF(D137&lt;&gt;"","Confirmed","Follow up")</f>
        <v>Confirmed</v>
      </c>
      <c r="I137" s="6" t="str">
        <f aca="false">IF(H137="Follow up",COUNTIF($H$3:H137,"Follow up"),"")</f>
        <v/>
      </c>
    </row>
    <row r="138" customFormat="false" ht="15" hidden="false" customHeight="false" outlineLevel="0" collapsed="false">
      <c r="A138" s="3" t="s">
        <v>165</v>
      </c>
      <c r="B138" s="4" t="s">
        <v>21</v>
      </c>
      <c r="C138" s="4" t="s">
        <v>12</v>
      </c>
      <c r="D138" s="5" t="n">
        <v>46210</v>
      </c>
      <c r="E138" s="4" t="s">
        <v>13</v>
      </c>
      <c r="F138" s="4" t="s">
        <v>14</v>
      </c>
      <c r="G138" s="4" t="s">
        <v>49</v>
      </c>
      <c r="H138" s="6" t="str">
        <f aca="false">IF(D138&lt;&gt;"","Confirmed","Follow up")</f>
        <v>Confirmed</v>
      </c>
      <c r="I138" s="6" t="str">
        <f aca="false">IF(H138="Follow up",COUNTIF($H$3:H138,"Follow up"),"")</f>
        <v/>
      </c>
    </row>
    <row r="139" customFormat="false" ht="15" hidden="false" customHeight="false" outlineLevel="0" collapsed="false">
      <c r="A139" s="3" t="s">
        <v>166</v>
      </c>
      <c r="B139" s="4" t="s">
        <v>21</v>
      </c>
      <c r="C139" s="4" t="s">
        <v>12</v>
      </c>
      <c r="D139" s="5" t="n">
        <v>46212</v>
      </c>
      <c r="E139" s="4" t="s">
        <v>13</v>
      </c>
      <c r="F139" s="4" t="s">
        <v>14</v>
      </c>
      <c r="G139" s="4"/>
      <c r="H139" s="6" t="str">
        <f aca="false">IF(D139&lt;&gt;"","Confirmed","Follow up")</f>
        <v>Confirmed</v>
      </c>
      <c r="I139" s="6" t="str">
        <f aca="false">IF(H139="Follow up",COUNTIF($H$3:H139,"Follow up"),"")</f>
        <v/>
      </c>
    </row>
    <row r="140" customFormat="false" ht="15" hidden="false" customHeight="false" outlineLevel="0" collapsed="false">
      <c r="A140" s="3" t="s">
        <v>167</v>
      </c>
      <c r="B140" s="4" t="s">
        <v>17</v>
      </c>
      <c r="C140" s="4" t="s">
        <v>56</v>
      </c>
      <c r="D140" s="5" t="n">
        <v>46218</v>
      </c>
      <c r="E140" s="4" t="s">
        <v>13</v>
      </c>
      <c r="F140" s="4" t="s">
        <v>14</v>
      </c>
      <c r="G140" s="4"/>
      <c r="H140" s="6" t="str">
        <f aca="false">IF(D140&lt;&gt;"","Confirmed","Follow up")</f>
        <v>Confirmed</v>
      </c>
      <c r="I140" s="6" t="str">
        <f aca="false">IF(H140="Follow up",COUNTIF($H$3:H140,"Follow up"),"")</f>
        <v/>
      </c>
    </row>
    <row r="141" customFormat="false" ht="15" hidden="false" customHeight="false" outlineLevel="0" collapsed="false">
      <c r="A141" s="3" t="s">
        <v>168</v>
      </c>
      <c r="B141" s="4" t="s">
        <v>21</v>
      </c>
      <c r="C141" s="4" t="s">
        <v>12</v>
      </c>
      <c r="D141" s="5" t="n">
        <v>46212</v>
      </c>
      <c r="E141" s="4" t="s">
        <v>13</v>
      </c>
      <c r="F141" s="4" t="s">
        <v>24</v>
      </c>
      <c r="G141" s="4"/>
      <c r="H141" s="6" t="str">
        <f aca="false">IF(D141&lt;&gt;"","Confirmed","Follow up")</f>
        <v>Confirmed</v>
      </c>
      <c r="I141" s="6" t="str">
        <f aca="false">IF(H141="Follow up",COUNTIF($H$3:H141,"Follow up"),"")</f>
        <v/>
      </c>
    </row>
    <row r="142" customFormat="false" ht="15" hidden="false" customHeight="false" outlineLevel="0" collapsed="false">
      <c r="A142" s="3" t="s">
        <v>169</v>
      </c>
      <c r="B142" s="4" t="s">
        <v>11</v>
      </c>
      <c r="C142" s="4" t="s">
        <v>18</v>
      </c>
      <c r="D142" s="5" t="n">
        <v>46226</v>
      </c>
      <c r="E142" s="4" t="s">
        <v>13</v>
      </c>
      <c r="F142" s="4" t="s">
        <v>14</v>
      </c>
      <c r="G142" s="4"/>
      <c r="H142" s="6" t="str">
        <f aca="false">IF(D142&lt;&gt;"","Confirmed","Follow up")</f>
        <v>Confirmed</v>
      </c>
      <c r="I142" s="6" t="str">
        <f aca="false">IF(H142="Follow up",COUNTIF($H$3:H142,"Follow up"),"")</f>
        <v/>
      </c>
    </row>
    <row r="143" customFormat="false" ht="15" hidden="false" customHeight="false" outlineLevel="0" collapsed="false">
      <c r="A143" s="3" t="s">
        <v>170</v>
      </c>
      <c r="B143" s="4" t="s">
        <v>17</v>
      </c>
      <c r="C143" s="4" t="s">
        <v>12</v>
      </c>
      <c r="D143" s="5" t="n">
        <v>46219</v>
      </c>
      <c r="E143" s="4" t="s">
        <v>13</v>
      </c>
      <c r="F143" s="4" t="s">
        <v>14</v>
      </c>
      <c r="G143" s="4" t="s">
        <v>15</v>
      </c>
      <c r="H143" s="6" t="str">
        <f aca="false">IF(D143&lt;&gt;"","Confirmed","Follow up")</f>
        <v>Confirmed</v>
      </c>
      <c r="I143" s="6" t="str">
        <f aca="false">IF(H143="Follow up",COUNTIF($H$3:H143,"Follow up"),"")</f>
        <v/>
      </c>
    </row>
    <row r="144" customFormat="false" ht="15" hidden="false" customHeight="false" outlineLevel="0" collapsed="false">
      <c r="A144" s="3" t="s">
        <v>171</v>
      </c>
      <c r="B144" s="4" t="s">
        <v>21</v>
      </c>
      <c r="C144" s="4" t="s">
        <v>56</v>
      </c>
      <c r="D144" s="5" t="n">
        <v>46210</v>
      </c>
      <c r="E144" s="4" t="s">
        <v>13</v>
      </c>
      <c r="F144" s="4" t="s">
        <v>14</v>
      </c>
      <c r="G144" s="4"/>
      <c r="H144" s="6" t="str">
        <f aca="false">IF(D144&lt;&gt;"","Confirmed","Follow up")</f>
        <v>Confirmed</v>
      </c>
      <c r="I144" s="6" t="str">
        <f aca="false">IF(H144="Follow up",COUNTIF($H$3:H144,"Follow up"),"")</f>
        <v/>
      </c>
    </row>
    <row r="145" customFormat="false" ht="15" hidden="false" customHeight="false" outlineLevel="0" collapsed="false">
      <c r="A145" s="3" t="s">
        <v>172</v>
      </c>
      <c r="B145" s="4" t="s">
        <v>11</v>
      </c>
      <c r="C145" s="4" t="s">
        <v>12</v>
      </c>
      <c r="D145" s="5" t="n">
        <v>46223</v>
      </c>
      <c r="E145" s="4" t="s">
        <v>13</v>
      </c>
      <c r="F145" s="4" t="s">
        <v>24</v>
      </c>
      <c r="G145" s="4"/>
      <c r="H145" s="6" t="str">
        <f aca="false">IF(D145&lt;&gt;"","Confirmed","Follow up")</f>
        <v>Confirmed</v>
      </c>
      <c r="I145" s="6" t="str">
        <f aca="false">IF(H145="Follow up",COUNTIF($H$3:H145,"Follow up"),"")</f>
        <v/>
      </c>
    </row>
    <row r="146" customFormat="false" ht="15" hidden="false" customHeight="false" outlineLevel="0" collapsed="false">
      <c r="A146" s="3" t="s">
        <v>173</v>
      </c>
      <c r="B146" s="4" t="s">
        <v>21</v>
      </c>
      <c r="C146" s="4" t="s">
        <v>12</v>
      </c>
      <c r="D146" s="5" t="n">
        <v>46209</v>
      </c>
      <c r="E146" s="4" t="s">
        <v>13</v>
      </c>
      <c r="F146" s="4" t="s">
        <v>14</v>
      </c>
      <c r="G146" s="4"/>
      <c r="H146" s="6" t="str">
        <f aca="false">IF(D146&lt;&gt;"","Confirmed","Follow up")</f>
        <v>Confirmed</v>
      </c>
      <c r="I146" s="6" t="str">
        <f aca="false">IF(H146="Follow up",COUNTIF($H$3:H146,"Follow up"),"")</f>
        <v/>
      </c>
    </row>
    <row r="147" customFormat="false" ht="15" hidden="false" customHeight="false" outlineLevel="0" collapsed="false">
      <c r="A147" s="3" t="s">
        <v>174</v>
      </c>
      <c r="B147" s="4" t="s">
        <v>21</v>
      </c>
      <c r="C147" s="4" t="s">
        <v>18</v>
      </c>
      <c r="D147" s="5" t="n">
        <v>46209</v>
      </c>
      <c r="E147" s="4" t="s">
        <v>13</v>
      </c>
      <c r="F147" s="4" t="s">
        <v>24</v>
      </c>
      <c r="G147" s="4" t="s">
        <v>49</v>
      </c>
      <c r="H147" s="6" t="str">
        <f aca="false">IF(D147&lt;&gt;"","Confirmed","Follow up")</f>
        <v>Confirmed</v>
      </c>
      <c r="I147" s="6" t="str">
        <f aca="false">IF(H147="Follow up",COUNTIF($H$3:H147,"Follow up"),"")</f>
        <v/>
      </c>
    </row>
    <row r="148" customFormat="false" ht="15" hidden="false" customHeight="false" outlineLevel="0" collapsed="false">
      <c r="A148" s="3" t="s">
        <v>175</v>
      </c>
      <c r="B148" s="4" t="s">
        <v>21</v>
      </c>
      <c r="C148" s="4" t="s">
        <v>12</v>
      </c>
      <c r="D148" s="5"/>
      <c r="E148" s="4" t="s">
        <v>28</v>
      </c>
      <c r="F148" s="4" t="s">
        <v>24</v>
      </c>
      <c r="G148" s="4" t="s">
        <v>63</v>
      </c>
      <c r="H148" s="6" t="str">
        <f aca="false">IF(D148&lt;&gt;"","Confirmed","Follow up")</f>
        <v>Follow up</v>
      </c>
      <c r="I148" s="6" t="n">
        <f aca="false">IF(H148="Follow up",COUNTIF($H$3:H148,"Follow up"),"")</f>
        <v>16</v>
      </c>
    </row>
    <row r="149" customFormat="false" ht="15" hidden="false" customHeight="false" outlineLevel="0" collapsed="false">
      <c r="A149" s="3" t="s">
        <v>176</v>
      </c>
      <c r="B149" s="4" t="s">
        <v>11</v>
      </c>
      <c r="C149" s="4" t="s">
        <v>18</v>
      </c>
      <c r="D149" s="5" t="n">
        <v>46226</v>
      </c>
      <c r="E149" s="4" t="s">
        <v>13</v>
      </c>
      <c r="F149" s="4" t="s">
        <v>24</v>
      </c>
      <c r="G149" s="4"/>
      <c r="H149" s="6" t="str">
        <f aca="false">IF(D149&lt;&gt;"","Confirmed","Follow up")</f>
        <v>Confirmed</v>
      </c>
      <c r="I149" s="6" t="str">
        <f aca="false">IF(H149="Follow up",COUNTIF($H$3:H149,"Follow up"),"")</f>
        <v/>
      </c>
    </row>
  </sheetData>
  <autoFilter ref="A2:I149"/>
  <conditionalFormatting sqref="A3:I149">
    <cfRule type="expression" priority="2" aboveAverage="0" equalAverage="0" bottom="0" percent="0" rank="0" text="" dxfId="6">
      <formula>$H3="Follow up"</formula>
    </cfRule>
  </conditionalFormatting>
  <dataValidations count="3">
    <dataValidation allowBlank="false" errorStyle="stop" operator="between" showDropDown="false" showErrorMessage="false" showInputMessage="false" sqref="B3:B149" type="list">
      <formula1>"Week 1,Week 2,Week 3"</formula1>
      <formula2>0</formula2>
    </dataValidation>
    <dataValidation allowBlank="false" errorStyle="stop" operator="between" showDropDown="false" showErrorMessage="false" showInputMessage="false" sqref="E3:E149" type="list">
      <formula1>"Yes,No"</formula1>
      <formula2>0</formula2>
    </dataValidation>
    <dataValidation allowBlank="false" errorStyle="stop" operator="between" showDropDown="false" showErrorMessage="false" showInputMessage="false" sqref="C3:C149" type="list">
      <formula1>"English,Spanish,Arabic,Portuguese"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2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7" t="s">
        <v>177</v>
      </c>
      <c r="B1" s="8"/>
      <c r="C1" s="8"/>
      <c r="D1" s="8"/>
      <c r="E1" s="8"/>
    </row>
    <row r="2" customFormat="false" ht="15" hidden="false" customHeight="false" outlineLevel="0" collapsed="false">
      <c r="A2" s="8"/>
      <c r="B2" s="8"/>
      <c r="C2" s="8"/>
      <c r="D2" s="8"/>
      <c r="E2" s="8"/>
    </row>
    <row r="3" customFormat="false" ht="15" hidden="false" customHeight="false" outlineLevel="0" collapsed="false">
      <c r="A3" s="8" t="s">
        <v>178</v>
      </c>
      <c r="B3" s="8" t="n">
        <f aca="false">COUNTA(Roster!A3:A149)</f>
        <v>147</v>
      </c>
      <c r="C3" s="8"/>
      <c r="D3" s="8"/>
      <c r="E3" s="8"/>
    </row>
    <row r="4" customFormat="false" ht="15" hidden="false" customHeight="false" outlineLevel="0" collapsed="false">
      <c r="A4" s="8" t="s">
        <v>179</v>
      </c>
      <c r="B4" s="8" t="n">
        <f aca="false">COUNTIF(Roster!H3:H149,"Confirmed")</f>
        <v>131</v>
      </c>
      <c r="C4" s="8"/>
      <c r="D4" s="8"/>
      <c r="E4" s="8"/>
    </row>
    <row r="5" customFormat="false" ht="15" hidden="false" customHeight="false" outlineLevel="0" collapsed="false">
      <c r="A5" s="8" t="s">
        <v>180</v>
      </c>
      <c r="B5" s="8" t="n">
        <f aca="false">COUNTIF(Roster!H3:H149,"Follow up")</f>
        <v>16</v>
      </c>
      <c r="C5" s="8"/>
      <c r="D5" s="8"/>
      <c r="E5" s="8"/>
    </row>
    <row r="6" customFormat="false" ht="15" hidden="false" customHeight="false" outlineLevel="0" collapsed="false">
      <c r="A6" s="8" t="s">
        <v>181</v>
      </c>
      <c r="B6" s="9" t="n">
        <f aca="false">IF(B3=0,0,B4/B3)</f>
        <v>0.891156462585034</v>
      </c>
      <c r="C6" s="8"/>
      <c r="D6" s="8"/>
      <c r="E6" s="8"/>
    </row>
    <row r="7" customFormat="false" ht="15" hidden="false" customHeight="false" outlineLevel="0" collapsed="false">
      <c r="A7" s="8"/>
      <c r="B7" s="8"/>
      <c r="C7" s="8"/>
      <c r="D7" s="8"/>
      <c r="E7" s="8"/>
    </row>
    <row r="8" customFormat="false" ht="15" hidden="false" customHeight="false" outlineLevel="0" collapsed="false">
      <c r="A8" s="10" t="s">
        <v>182</v>
      </c>
      <c r="B8" s="8"/>
      <c r="C8" s="8"/>
      <c r="D8" s="8"/>
      <c r="E8" s="8"/>
    </row>
    <row r="9" customFormat="false" ht="15" hidden="false" customHeight="false" outlineLevel="0" collapsed="false">
      <c r="A9" s="11" t="s">
        <v>183</v>
      </c>
      <c r="B9" s="11" t="s">
        <v>184</v>
      </c>
      <c r="C9" s="11" t="s">
        <v>185</v>
      </c>
      <c r="D9" s="11" t="s">
        <v>186</v>
      </c>
      <c r="E9" s="11" t="s">
        <v>187</v>
      </c>
    </row>
    <row r="10" customFormat="false" ht="15" hidden="false" customHeight="false" outlineLevel="0" collapsed="false">
      <c r="A10" s="8" t="s">
        <v>21</v>
      </c>
      <c r="B10" s="8" t="n">
        <f aca="false">COUNTIF(Roster!$B$3:$B$149,A10)</f>
        <v>51</v>
      </c>
      <c r="C10" s="8" t="n">
        <f aca="false">COUNTIFS(Roster!$B$3:$B$149,A10,Roster!$H$3:$H$149,"Confirmed")</f>
        <v>46</v>
      </c>
      <c r="D10" s="8" t="n">
        <f aca="false">COUNTIFS(Roster!$B$3:$B$149,A10,Roster!$H$3:$H$149,"Follow up")</f>
        <v>5</v>
      </c>
      <c r="E10" s="9" t="n">
        <f aca="false">IF(B10=0,0,C10/B10)</f>
        <v>0.901960784313726</v>
      </c>
    </row>
    <row r="11" customFormat="false" ht="15" hidden="false" customHeight="false" outlineLevel="0" collapsed="false">
      <c r="A11" s="8" t="s">
        <v>17</v>
      </c>
      <c r="B11" s="8" t="n">
        <f aca="false">COUNTIF(Roster!$B$3:$B$149,A11)</f>
        <v>53</v>
      </c>
      <c r="C11" s="8" t="n">
        <f aca="false">COUNTIFS(Roster!$B$3:$B$149,A11,Roster!$H$3:$H$149,"Confirmed")</f>
        <v>45</v>
      </c>
      <c r="D11" s="8" t="n">
        <f aca="false">COUNTIFS(Roster!$B$3:$B$149,A11,Roster!$H$3:$H$149,"Follow up")</f>
        <v>8</v>
      </c>
      <c r="E11" s="9" t="n">
        <f aca="false">IF(B11=0,0,C11/B11)</f>
        <v>0.849056603773585</v>
      </c>
    </row>
    <row r="12" customFormat="false" ht="15" hidden="false" customHeight="false" outlineLevel="0" collapsed="false">
      <c r="A12" s="8" t="s">
        <v>11</v>
      </c>
      <c r="B12" s="8" t="n">
        <f aca="false">COUNTIF(Roster!$B$3:$B$149,A12)</f>
        <v>43</v>
      </c>
      <c r="C12" s="8" t="n">
        <f aca="false">COUNTIFS(Roster!$B$3:$B$149,A12,Roster!$H$3:$H$149,"Confirmed")</f>
        <v>40</v>
      </c>
      <c r="D12" s="8" t="n">
        <f aca="false">COUNTIFS(Roster!$B$3:$B$149,A12,Roster!$H$3:$H$149,"Follow up")</f>
        <v>3</v>
      </c>
      <c r="E12" s="9" t="n">
        <f aca="false">IF(B12=0,0,C12/B12)</f>
        <v>0.930232558139535</v>
      </c>
    </row>
    <row r="13" customFormat="false" ht="15" hidden="false" customHeight="false" outlineLevel="0" collapsed="false">
      <c r="A13" s="8"/>
      <c r="B13" s="8"/>
      <c r="C13" s="8"/>
      <c r="D13" s="8"/>
      <c r="E13" s="8"/>
    </row>
    <row r="14" customFormat="false" ht="15" hidden="false" customHeight="false" outlineLevel="0" collapsed="false">
      <c r="A14" s="8"/>
      <c r="B14" s="8"/>
      <c r="C14" s="8"/>
      <c r="D14" s="8"/>
      <c r="E14" s="8"/>
    </row>
    <row r="15" customFormat="false" ht="15" hidden="false" customHeight="false" outlineLevel="0" collapsed="false">
      <c r="A15" s="10" t="s">
        <v>188</v>
      </c>
      <c r="B15" s="8"/>
      <c r="C15" s="8"/>
      <c r="D15" s="8"/>
      <c r="E15" s="8"/>
    </row>
    <row r="16" customFormat="false" ht="15" hidden="false" customHeight="false" outlineLevel="0" collapsed="false">
      <c r="A16" s="11" t="s">
        <v>189</v>
      </c>
      <c r="B16" s="11" t="s">
        <v>184</v>
      </c>
      <c r="C16" s="11" t="s">
        <v>185</v>
      </c>
      <c r="D16" s="11" t="s">
        <v>186</v>
      </c>
      <c r="E16" s="11" t="s">
        <v>187</v>
      </c>
    </row>
    <row r="17" customFormat="false" ht="15" hidden="false" customHeight="false" outlineLevel="0" collapsed="false">
      <c r="A17" s="8" t="s">
        <v>12</v>
      </c>
      <c r="B17" s="8" t="n">
        <f aca="false">COUNTIF(Roster!$C$3:$C$149,A17)</f>
        <v>79</v>
      </c>
      <c r="C17" s="8" t="n">
        <f aca="false">COUNTIFS(Roster!$C$3:$C$149,A17,Roster!$H$3:$H$149,"Confirmed")</f>
        <v>67</v>
      </c>
      <c r="D17" s="8" t="n">
        <f aca="false">COUNTIFS(Roster!$C$3:$C$149,A17,Roster!$H$3:$H$149,"Follow up")</f>
        <v>12</v>
      </c>
      <c r="E17" s="9" t="n">
        <f aca="false">IF(B17=0,0,C17/B17)</f>
        <v>0.848101265822785</v>
      </c>
    </row>
    <row r="18" customFormat="false" ht="15" hidden="false" customHeight="false" outlineLevel="0" collapsed="false">
      <c r="A18" s="8" t="s">
        <v>18</v>
      </c>
      <c r="B18" s="8" t="n">
        <f aca="false">COUNTIF(Roster!$C$3:$C$149,A18)</f>
        <v>48</v>
      </c>
      <c r="C18" s="8" t="n">
        <f aca="false">COUNTIFS(Roster!$C$3:$C$149,A18,Roster!$H$3:$H$149,"Confirmed")</f>
        <v>46</v>
      </c>
      <c r="D18" s="8" t="n">
        <f aca="false">COUNTIFS(Roster!$C$3:$C$149,A18,Roster!$H$3:$H$149,"Follow up")</f>
        <v>2</v>
      </c>
      <c r="E18" s="9" t="n">
        <f aca="false">IF(B18=0,0,C18/B18)</f>
        <v>0.958333333333333</v>
      </c>
    </row>
    <row r="19" customFormat="false" ht="15" hidden="false" customHeight="false" outlineLevel="0" collapsed="false">
      <c r="A19" s="8" t="s">
        <v>56</v>
      </c>
      <c r="B19" s="8" t="n">
        <f aca="false">COUNTIF(Roster!$C$3:$C$149,A19)</f>
        <v>12</v>
      </c>
      <c r="C19" s="8" t="n">
        <f aca="false">COUNTIFS(Roster!$C$3:$C$149,A19,Roster!$H$3:$H$149,"Confirmed")</f>
        <v>12</v>
      </c>
      <c r="D19" s="8" t="n">
        <f aca="false">COUNTIFS(Roster!$C$3:$C$149,A19,Roster!$H$3:$H$149,"Follow up")</f>
        <v>0</v>
      </c>
      <c r="E19" s="9" t="n">
        <f aca="false">IF(B19=0,0,C19/B19)</f>
        <v>1</v>
      </c>
    </row>
    <row r="20" customFormat="false" ht="15" hidden="false" customHeight="false" outlineLevel="0" collapsed="false">
      <c r="A20" s="8" t="s">
        <v>37</v>
      </c>
      <c r="B20" s="8" t="n">
        <f aca="false">COUNTIF(Roster!$C$3:$C$149,A20)</f>
        <v>8</v>
      </c>
      <c r="C20" s="8" t="n">
        <f aca="false">COUNTIFS(Roster!$C$3:$C$149,A20,Roster!$H$3:$H$149,"Confirmed")</f>
        <v>6</v>
      </c>
      <c r="D20" s="8" t="n">
        <f aca="false">COUNTIFS(Roster!$C$3:$C$149,A20,Roster!$H$3:$H$149,"Follow up")</f>
        <v>2</v>
      </c>
      <c r="E20" s="9" t="n">
        <f aca="false">IF(B20=0,0,C20/B20)</f>
        <v>0.75</v>
      </c>
    </row>
    <row r="21" customFormat="false" ht="15" hidden="false" customHeight="false" outlineLevel="0" collapsed="false">
      <c r="A21" s="8"/>
      <c r="B21" s="8"/>
      <c r="C21" s="8"/>
      <c r="D21" s="8"/>
      <c r="E21" s="8"/>
    </row>
    <row r="22" customFormat="false" ht="15" hidden="false" customHeight="false" outlineLevel="0" collapsed="false">
      <c r="A22" s="1" t="s">
        <v>190</v>
      </c>
      <c r="B22" s="8"/>
      <c r="C22" s="8"/>
      <c r="D22" s="8"/>
      <c r="E2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28"/>
  </cols>
  <sheetData>
    <row r="1" customFormat="false" ht="16.15" hidden="false" customHeight="false" outlineLevel="0" collapsed="false">
      <c r="A1" s="7" t="s">
        <v>191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8"/>
      <c r="B2" s="8"/>
      <c r="C2" s="8"/>
      <c r="D2" s="8"/>
      <c r="E2" s="8"/>
      <c r="F2" s="8"/>
    </row>
    <row r="3" customFormat="false" ht="15" hidden="false" customHeight="false" outlineLevel="0" collapsed="false">
      <c r="A3" s="11" t="s">
        <v>192</v>
      </c>
      <c r="B3" s="11" t="s">
        <v>1</v>
      </c>
      <c r="C3" s="11" t="s">
        <v>2</v>
      </c>
      <c r="D3" s="11" t="s">
        <v>3</v>
      </c>
      <c r="E3" s="11" t="s">
        <v>193</v>
      </c>
      <c r="F3" s="11" t="s">
        <v>7</v>
      </c>
    </row>
    <row r="4" customFormat="false" ht="15" hidden="false" customHeight="false" outlineLevel="0" collapsed="false">
      <c r="A4" s="8" t="n">
        <v>1</v>
      </c>
      <c r="B4" s="8" t="str">
        <f aca="false">IFERROR(INDEX(Roster!$A$3:$A$149,MATCH($A4,Roster!$I$3:$I$149,0)),"")</f>
        <v>F-005</v>
      </c>
      <c r="C4" s="8" t="str">
        <f aca="false">IFERROR(INDEX(Roster!$B$3:$B$149,MATCH($A4,Roster!$I$3:$I$149,0)),"")</f>
        <v>Week 1</v>
      </c>
      <c r="D4" s="8" t="str">
        <f aca="false">IFERROR(INDEX(Roster!$C$3:$C$149,MATCH($A4,Roster!$I$3:$I$149,0)),"")</f>
        <v>English</v>
      </c>
      <c r="E4" s="8" t="str">
        <f aca="false">IFERROR(INDEX(Roster!$E$3:$E$149,MATCH($A4,Roster!$I$3:$I$149,0)),"")</f>
        <v>Yes</v>
      </c>
      <c r="F4" s="8" t="str">
        <f aca="false">IFERROR(INDEX(Roster!$G$3:$G$149,MATCH($A4,Roster!$I$3:$I$149,0)),"")</f>
        <v>Left voicemail</v>
      </c>
    </row>
    <row r="5" customFormat="false" ht="15" hidden="false" customHeight="false" outlineLevel="0" collapsed="false">
      <c r="A5" s="8" t="n">
        <v>2</v>
      </c>
      <c r="B5" s="8" t="str">
        <f aca="false">IFERROR(INDEX(Roster!$A$3:$A$149,MATCH($A5,Roster!$I$3:$I$149,0)),"")</f>
        <v>F-006</v>
      </c>
      <c r="C5" s="8" t="str">
        <f aca="false">IFERROR(INDEX(Roster!$B$3:$B$149,MATCH($A5,Roster!$I$3:$I$149,0)),"")</f>
        <v>Week 1</v>
      </c>
      <c r="D5" s="8" t="str">
        <f aca="false">IFERROR(INDEX(Roster!$C$3:$C$149,MATCH($A5,Roster!$I$3:$I$149,0)),"")</f>
        <v>English</v>
      </c>
      <c r="E5" s="8" t="str">
        <f aca="false">IFERROR(INDEX(Roster!$E$3:$E$149,MATCH($A5,Roster!$I$3:$I$149,0)),"")</f>
        <v>No</v>
      </c>
      <c r="F5" s="8" t="str">
        <f aca="false">IFERROR(INDEX(Roster!$G$3:$G$149,MATCH($A5,Roster!$I$3:$I$149,0)),"")</f>
        <v>Email bounced, calling</v>
      </c>
    </row>
    <row r="6" customFormat="false" ht="15" hidden="false" customHeight="false" outlineLevel="0" collapsed="false">
      <c r="A6" s="8" t="n">
        <v>3</v>
      </c>
      <c r="B6" s="8" t="str">
        <f aca="false">IFERROR(INDEX(Roster!$A$3:$A$149,MATCH($A6,Roster!$I$3:$I$149,0)),"")</f>
        <v>F-028</v>
      </c>
      <c r="C6" s="8" t="str">
        <f aca="false">IFERROR(INDEX(Roster!$B$3:$B$149,MATCH($A6,Roster!$I$3:$I$149,0)),"")</f>
        <v>Week 2</v>
      </c>
      <c r="D6" s="8" t="str">
        <f aca="false">IFERROR(INDEX(Roster!$C$3:$C$149,MATCH($A6,Roster!$I$3:$I$149,0)),"")</f>
        <v>Portuguese</v>
      </c>
      <c r="E6" s="8" t="str">
        <f aca="false">IFERROR(INDEX(Roster!$E$3:$E$149,MATCH($A6,Roster!$I$3:$I$149,0)),"")</f>
        <v>Yes</v>
      </c>
      <c r="F6" s="8" t="str">
        <f aca="false">IFERROR(INDEX(Roster!$G$3:$G$149,MATCH($A6,Roster!$I$3:$I$149,0)),"")</f>
        <v>Email bounced, calling</v>
      </c>
    </row>
    <row r="7" customFormat="false" ht="15" hidden="false" customHeight="false" outlineLevel="0" collapsed="false">
      <c r="A7" s="8" t="n">
        <v>4</v>
      </c>
      <c r="B7" s="8" t="str">
        <f aca="false">IFERROR(INDEX(Roster!$A$3:$A$149,MATCH($A7,Roster!$I$3:$I$149,0)),"")</f>
        <v>F-036</v>
      </c>
      <c r="C7" s="8" t="str">
        <f aca="false">IFERROR(INDEX(Roster!$B$3:$B$149,MATCH($A7,Roster!$I$3:$I$149,0)),"")</f>
        <v>Week 1</v>
      </c>
      <c r="D7" s="8" t="str">
        <f aca="false">IFERROR(INDEX(Roster!$C$3:$C$149,MATCH($A7,Roster!$I$3:$I$149,0)),"")</f>
        <v>English</v>
      </c>
      <c r="E7" s="8" t="str">
        <f aca="false">IFERROR(INDEX(Roster!$E$3:$E$149,MATCH($A7,Roster!$I$3:$I$149,0)),"")</f>
        <v>No</v>
      </c>
      <c r="F7" s="8" t="str">
        <f aca="false">IFERROR(INDEX(Roster!$G$3:$G$149,MATCH($A7,Roster!$I$3:$I$149,0)),"")</f>
        <v>Text sent</v>
      </c>
    </row>
    <row r="8" customFormat="false" ht="15" hidden="false" customHeight="false" outlineLevel="0" collapsed="false">
      <c r="A8" s="8" t="n">
        <v>5</v>
      </c>
      <c r="B8" s="8" t="str">
        <f aca="false">IFERROR(INDEX(Roster!$A$3:$A$149,MATCH($A8,Roster!$I$3:$I$149,0)),"")</f>
        <v>F-037</v>
      </c>
      <c r="C8" s="8" t="str">
        <f aca="false">IFERROR(INDEX(Roster!$B$3:$B$149,MATCH($A8,Roster!$I$3:$I$149,0)),"")</f>
        <v>Week 2</v>
      </c>
      <c r="D8" s="8" t="str">
        <f aca="false">IFERROR(INDEX(Roster!$C$3:$C$149,MATCH($A8,Roster!$I$3:$I$149,0)),"")</f>
        <v>English</v>
      </c>
      <c r="E8" s="8" t="str">
        <f aca="false">IFERROR(INDEX(Roster!$E$3:$E$149,MATCH($A8,Roster!$I$3:$I$149,0)),"")</f>
        <v>No</v>
      </c>
      <c r="F8" s="8" t="str">
        <f aca="false">IFERROR(INDEX(Roster!$G$3:$G$149,MATCH($A8,Roster!$I$3:$I$149,0)),"")</f>
        <v>Left voicemail</v>
      </c>
    </row>
    <row r="9" customFormat="false" ht="15" hidden="false" customHeight="false" outlineLevel="0" collapsed="false">
      <c r="A9" s="8" t="n">
        <v>6</v>
      </c>
      <c r="B9" s="8" t="str">
        <f aca="false">IFERROR(INDEX(Roster!$A$3:$A$149,MATCH($A9,Roster!$I$3:$I$149,0)),"")</f>
        <v>F-043</v>
      </c>
      <c r="C9" s="8" t="str">
        <f aca="false">IFERROR(INDEX(Roster!$B$3:$B$149,MATCH($A9,Roster!$I$3:$I$149,0)),"")</f>
        <v>Week 3</v>
      </c>
      <c r="D9" s="8" t="str">
        <f aca="false">IFERROR(INDEX(Roster!$C$3:$C$149,MATCH($A9,Roster!$I$3:$I$149,0)),"")</f>
        <v>English</v>
      </c>
      <c r="E9" s="8" t="str">
        <f aca="false">IFERROR(INDEX(Roster!$E$3:$E$149,MATCH($A9,Roster!$I$3:$I$149,0)),"")</f>
        <v>No</v>
      </c>
      <c r="F9" s="8" t="str">
        <f aca="false">IFERROR(INDEX(Roster!$G$3:$G$149,MATCH($A9,Roster!$I$3:$I$149,0)),"")</f>
        <v>No reply after 2 emails</v>
      </c>
    </row>
    <row r="10" customFormat="false" ht="15" hidden="false" customHeight="false" outlineLevel="0" collapsed="false">
      <c r="A10" s="8" t="n">
        <v>7</v>
      </c>
      <c r="B10" s="8" t="str">
        <f aca="false">IFERROR(INDEX(Roster!$A$3:$A$149,MATCH($A10,Roster!$I$3:$I$149,0)),"")</f>
        <v>F-053</v>
      </c>
      <c r="C10" s="8" t="str">
        <f aca="false">IFERROR(INDEX(Roster!$B$3:$B$149,MATCH($A10,Roster!$I$3:$I$149,0)),"")</f>
        <v>Week 2</v>
      </c>
      <c r="D10" s="8" t="str">
        <f aca="false">IFERROR(INDEX(Roster!$C$3:$C$149,MATCH($A10,Roster!$I$3:$I$149,0)),"")</f>
        <v>English</v>
      </c>
      <c r="E10" s="8" t="str">
        <f aca="false">IFERROR(INDEX(Roster!$E$3:$E$149,MATCH($A10,Roster!$I$3:$I$149,0)),"")</f>
        <v>No</v>
      </c>
      <c r="F10" s="8" t="str">
        <f aca="false">IFERROR(INDEX(Roster!$G$3:$G$149,MATCH($A10,Roster!$I$3:$I$149,0)),"")</f>
        <v>Text sent</v>
      </c>
    </row>
    <row r="11" customFormat="false" ht="15" hidden="false" customHeight="false" outlineLevel="0" collapsed="false">
      <c r="A11" s="8" t="n">
        <v>8</v>
      </c>
      <c r="B11" s="8" t="str">
        <f aca="false">IFERROR(INDEX(Roster!$A$3:$A$149,MATCH($A11,Roster!$I$3:$I$149,0)),"")</f>
        <v>F-072</v>
      </c>
      <c r="C11" s="8" t="str">
        <f aca="false">IFERROR(INDEX(Roster!$B$3:$B$149,MATCH($A11,Roster!$I$3:$I$149,0)),"")</f>
        <v>Week 3</v>
      </c>
      <c r="D11" s="8" t="str">
        <f aca="false">IFERROR(INDEX(Roster!$C$3:$C$149,MATCH($A11,Roster!$I$3:$I$149,0)),"")</f>
        <v>English</v>
      </c>
      <c r="E11" s="8" t="str">
        <f aca="false">IFERROR(INDEX(Roster!$E$3:$E$149,MATCH($A11,Roster!$I$3:$I$149,0)),"")</f>
        <v>Yes</v>
      </c>
      <c r="F11" s="8" t="str">
        <f aca="false">IFERROR(INDEX(Roster!$G$3:$G$149,MATCH($A11,Roster!$I$3:$I$149,0)),"")</f>
        <v>Email bounced, calling</v>
      </c>
    </row>
    <row r="12" customFormat="false" ht="15" hidden="false" customHeight="false" outlineLevel="0" collapsed="false">
      <c r="A12" s="8" t="n">
        <v>9</v>
      </c>
      <c r="B12" s="8" t="str">
        <f aca="false">IFERROR(INDEX(Roster!$A$3:$A$149,MATCH($A12,Roster!$I$3:$I$149,0)),"")</f>
        <v>F-081</v>
      </c>
      <c r="C12" s="8" t="str">
        <f aca="false">IFERROR(INDEX(Roster!$B$3:$B$149,MATCH($A12,Roster!$I$3:$I$149,0)),"")</f>
        <v>Week 1</v>
      </c>
      <c r="D12" s="8" t="str">
        <f aca="false">IFERROR(INDEX(Roster!$C$3:$C$149,MATCH($A12,Roster!$I$3:$I$149,0)),"")</f>
        <v>Spanish</v>
      </c>
      <c r="E12" s="8" t="str">
        <f aca="false">IFERROR(INDEX(Roster!$E$3:$E$149,MATCH($A12,Roster!$I$3:$I$149,0)),"")</f>
        <v>Yes</v>
      </c>
      <c r="F12" s="8" t="str">
        <f aca="false">IFERROR(INDEX(Roster!$G$3:$G$149,MATCH($A12,Roster!$I$3:$I$149,0)),"")</f>
        <v>Left voicemail</v>
      </c>
    </row>
    <row r="13" customFormat="false" ht="15" hidden="false" customHeight="false" outlineLevel="0" collapsed="false">
      <c r="A13" s="8" t="n">
        <v>10</v>
      </c>
      <c r="B13" s="8" t="str">
        <f aca="false">IFERROR(INDEX(Roster!$A$3:$A$149,MATCH($A13,Roster!$I$3:$I$149,0)),"")</f>
        <v>F-094</v>
      </c>
      <c r="C13" s="8" t="str">
        <f aca="false">IFERROR(INDEX(Roster!$B$3:$B$149,MATCH($A13,Roster!$I$3:$I$149,0)),"")</f>
        <v>Week 2</v>
      </c>
      <c r="D13" s="8" t="str">
        <f aca="false">IFERROR(INDEX(Roster!$C$3:$C$149,MATCH($A13,Roster!$I$3:$I$149,0)),"")</f>
        <v>English</v>
      </c>
      <c r="E13" s="8" t="str">
        <f aca="false">IFERROR(INDEX(Roster!$E$3:$E$149,MATCH($A13,Roster!$I$3:$I$149,0)),"")</f>
        <v>Yes</v>
      </c>
      <c r="F13" s="8" t="str">
        <f aca="false">IFERROR(INDEX(Roster!$G$3:$G$149,MATCH($A13,Roster!$I$3:$I$149,0)),"")</f>
        <v>Email bounced, calling</v>
      </c>
    </row>
    <row r="14" customFormat="false" ht="15" hidden="false" customHeight="false" outlineLevel="0" collapsed="false">
      <c r="A14" s="8" t="n">
        <v>11</v>
      </c>
      <c r="B14" s="8" t="str">
        <f aca="false">IFERROR(INDEX(Roster!$A$3:$A$149,MATCH($A14,Roster!$I$3:$I$149,0)),"")</f>
        <v>F-097</v>
      </c>
      <c r="C14" s="8" t="str">
        <f aca="false">IFERROR(INDEX(Roster!$B$3:$B$149,MATCH($A14,Roster!$I$3:$I$149,0)),"")</f>
        <v>Week 3</v>
      </c>
      <c r="D14" s="8" t="str">
        <f aca="false">IFERROR(INDEX(Roster!$C$3:$C$149,MATCH($A14,Roster!$I$3:$I$149,0)),"")</f>
        <v>Spanish</v>
      </c>
      <c r="E14" s="8" t="str">
        <f aca="false">IFERROR(INDEX(Roster!$E$3:$E$149,MATCH($A14,Roster!$I$3:$I$149,0)),"")</f>
        <v>Yes</v>
      </c>
      <c r="F14" s="8" t="str">
        <f aca="false">IFERROR(INDEX(Roster!$G$3:$G$149,MATCH($A14,Roster!$I$3:$I$149,0)),"")</f>
        <v>No reply after 2 emails</v>
      </c>
    </row>
    <row r="15" customFormat="false" ht="15" hidden="false" customHeight="false" outlineLevel="0" collapsed="false">
      <c r="A15" s="8" t="n">
        <v>12</v>
      </c>
      <c r="B15" s="8" t="str">
        <f aca="false">IFERROR(INDEX(Roster!$A$3:$A$149,MATCH($A15,Roster!$I$3:$I$149,0)),"")</f>
        <v>F-107</v>
      </c>
      <c r="C15" s="8" t="str">
        <f aca="false">IFERROR(INDEX(Roster!$B$3:$B$149,MATCH($A15,Roster!$I$3:$I$149,0)),"")</f>
        <v>Week 2</v>
      </c>
      <c r="D15" s="8" t="str">
        <f aca="false">IFERROR(INDEX(Roster!$C$3:$C$149,MATCH($A15,Roster!$I$3:$I$149,0)),"")</f>
        <v>Portuguese</v>
      </c>
      <c r="E15" s="8" t="str">
        <f aca="false">IFERROR(INDEX(Roster!$E$3:$E$149,MATCH($A15,Roster!$I$3:$I$149,0)),"")</f>
        <v>No</v>
      </c>
      <c r="F15" s="8" t="str">
        <f aca="false">IFERROR(INDEX(Roster!$G$3:$G$149,MATCH($A15,Roster!$I$3:$I$149,0)),"")</f>
        <v>Call back after 3pm</v>
      </c>
    </row>
    <row r="16" customFormat="false" ht="15" hidden="false" customHeight="false" outlineLevel="0" collapsed="false">
      <c r="A16" s="8" t="n">
        <v>13</v>
      </c>
      <c r="B16" s="8" t="str">
        <f aca="false">IFERROR(INDEX(Roster!$A$3:$A$149,MATCH($A16,Roster!$I$3:$I$149,0)),"")</f>
        <v>F-119</v>
      </c>
      <c r="C16" s="8" t="str">
        <f aca="false">IFERROR(INDEX(Roster!$B$3:$B$149,MATCH($A16,Roster!$I$3:$I$149,0)),"")</f>
        <v>Week 2</v>
      </c>
      <c r="D16" s="8" t="str">
        <f aca="false">IFERROR(INDEX(Roster!$C$3:$C$149,MATCH($A16,Roster!$I$3:$I$149,0)),"")</f>
        <v>English</v>
      </c>
      <c r="E16" s="8" t="str">
        <f aca="false">IFERROR(INDEX(Roster!$E$3:$E$149,MATCH($A16,Roster!$I$3:$I$149,0)),"")</f>
        <v>Yes</v>
      </c>
      <c r="F16" s="8" t="str">
        <f aca="false">IFERROR(INDEX(Roster!$G$3:$G$149,MATCH($A16,Roster!$I$3:$I$149,0)),"")</f>
        <v>No reply after 2 emails</v>
      </c>
    </row>
    <row r="17" customFormat="false" ht="15" hidden="false" customHeight="false" outlineLevel="0" collapsed="false">
      <c r="A17" s="8" t="n">
        <v>14</v>
      </c>
      <c r="B17" s="8" t="str">
        <f aca="false">IFERROR(INDEX(Roster!$A$3:$A$149,MATCH($A17,Roster!$I$3:$I$149,0)),"")</f>
        <v>F-120</v>
      </c>
      <c r="C17" s="8" t="str">
        <f aca="false">IFERROR(INDEX(Roster!$B$3:$B$149,MATCH($A17,Roster!$I$3:$I$149,0)),"")</f>
        <v>Week 2</v>
      </c>
      <c r="D17" s="8" t="str">
        <f aca="false">IFERROR(INDEX(Roster!$C$3:$C$149,MATCH($A17,Roster!$I$3:$I$149,0)),"")</f>
        <v>English</v>
      </c>
      <c r="E17" s="8" t="str">
        <f aca="false">IFERROR(INDEX(Roster!$E$3:$E$149,MATCH($A17,Roster!$I$3:$I$149,0)),"")</f>
        <v>Yes</v>
      </c>
      <c r="F17" s="8" t="str">
        <f aca="false">IFERROR(INDEX(Roster!$G$3:$G$149,MATCH($A17,Roster!$I$3:$I$149,0)),"")</f>
        <v>Text sent</v>
      </c>
    </row>
    <row r="18" customFormat="false" ht="15" hidden="false" customHeight="false" outlineLevel="0" collapsed="false">
      <c r="A18" s="8" t="n">
        <v>15</v>
      </c>
      <c r="B18" s="8" t="str">
        <f aca="false">IFERROR(INDEX(Roster!$A$3:$A$149,MATCH($A18,Roster!$I$3:$I$149,0)),"")</f>
        <v>F-128</v>
      </c>
      <c r="C18" s="8" t="str">
        <f aca="false">IFERROR(INDEX(Roster!$B$3:$B$149,MATCH($A18,Roster!$I$3:$I$149,0)),"")</f>
        <v>Week 2</v>
      </c>
      <c r="D18" s="8" t="str">
        <f aca="false">IFERROR(INDEX(Roster!$C$3:$C$149,MATCH($A18,Roster!$I$3:$I$149,0)),"")</f>
        <v>English</v>
      </c>
      <c r="E18" s="8" t="str">
        <f aca="false">IFERROR(INDEX(Roster!$E$3:$E$149,MATCH($A18,Roster!$I$3:$I$149,0)),"")</f>
        <v>No</v>
      </c>
      <c r="F18" s="8" t="str">
        <f aca="false">IFERROR(INDEX(Roster!$G$3:$G$149,MATCH($A18,Roster!$I$3:$I$149,0)),"")</f>
        <v>Email bounced, calling</v>
      </c>
    </row>
    <row r="19" customFormat="false" ht="15" hidden="false" customHeight="false" outlineLevel="0" collapsed="false">
      <c r="A19" s="8" t="n">
        <v>16</v>
      </c>
      <c r="B19" s="8" t="str">
        <f aca="false">IFERROR(INDEX(Roster!$A$3:$A$149,MATCH($A19,Roster!$I$3:$I$149,0)),"")</f>
        <v>F-146</v>
      </c>
      <c r="C19" s="8" t="str">
        <f aca="false">IFERROR(INDEX(Roster!$B$3:$B$149,MATCH($A19,Roster!$I$3:$I$149,0)),"")</f>
        <v>Week 1</v>
      </c>
      <c r="D19" s="8" t="str">
        <f aca="false">IFERROR(INDEX(Roster!$C$3:$C$149,MATCH($A19,Roster!$I$3:$I$149,0)),"")</f>
        <v>English</v>
      </c>
      <c r="E19" s="8" t="str">
        <f aca="false">IFERROR(INDEX(Roster!$E$3:$E$149,MATCH($A19,Roster!$I$3:$I$149,0)),"")</f>
        <v>No</v>
      </c>
      <c r="F19" s="8" t="str">
        <f aca="false">IFERROR(INDEX(Roster!$G$3:$G$149,MATCH($A19,Roster!$I$3:$I$149,0)),"")</f>
        <v>Text sent</v>
      </c>
    </row>
    <row r="20" customFormat="false" ht="15" hidden="false" customHeight="false" outlineLevel="0" collapsed="false">
      <c r="A20" s="8" t="n">
        <v>17</v>
      </c>
      <c r="B20" s="8" t="str">
        <f aca="false">IFERROR(INDEX(Roster!$A$3:$A$149,MATCH($A20,Roster!$I$3:$I$149,0)),"")</f>
        <v/>
      </c>
      <c r="C20" s="8" t="str">
        <f aca="false">IFERROR(INDEX(Roster!$B$3:$B$149,MATCH($A20,Roster!$I$3:$I$149,0)),"")</f>
        <v/>
      </c>
      <c r="D20" s="8" t="str">
        <f aca="false">IFERROR(INDEX(Roster!$C$3:$C$149,MATCH($A20,Roster!$I$3:$I$149,0)),"")</f>
        <v/>
      </c>
      <c r="E20" s="8" t="str">
        <f aca="false">IFERROR(INDEX(Roster!$E$3:$E$149,MATCH($A20,Roster!$I$3:$I$149,0)),"")</f>
        <v/>
      </c>
      <c r="F20" s="8" t="str">
        <f aca="false">IFERROR(INDEX(Roster!$G$3:$G$149,MATCH($A20,Roster!$I$3:$I$149,0)),"")</f>
        <v/>
      </c>
    </row>
    <row r="21" customFormat="false" ht="15" hidden="false" customHeight="false" outlineLevel="0" collapsed="false">
      <c r="A21" s="8" t="n">
        <v>18</v>
      </c>
      <c r="B21" s="8" t="str">
        <f aca="false">IFERROR(INDEX(Roster!$A$3:$A$149,MATCH($A21,Roster!$I$3:$I$149,0)),"")</f>
        <v/>
      </c>
      <c r="C21" s="8" t="str">
        <f aca="false">IFERROR(INDEX(Roster!$B$3:$B$149,MATCH($A21,Roster!$I$3:$I$149,0)),"")</f>
        <v/>
      </c>
      <c r="D21" s="8" t="str">
        <f aca="false">IFERROR(INDEX(Roster!$C$3:$C$149,MATCH($A21,Roster!$I$3:$I$149,0)),"")</f>
        <v/>
      </c>
      <c r="E21" s="8" t="str">
        <f aca="false">IFERROR(INDEX(Roster!$E$3:$E$149,MATCH($A21,Roster!$I$3:$I$149,0)),"")</f>
        <v/>
      </c>
      <c r="F21" s="8" t="str">
        <f aca="false">IFERROR(INDEX(Roster!$G$3:$G$149,MATCH($A21,Roster!$I$3:$I$149,0)),"")</f>
        <v/>
      </c>
    </row>
    <row r="22" customFormat="false" ht="15" hidden="false" customHeight="false" outlineLevel="0" collapsed="false">
      <c r="A22" s="8" t="n">
        <v>19</v>
      </c>
      <c r="B22" s="8" t="str">
        <f aca="false">IFERROR(INDEX(Roster!$A$3:$A$149,MATCH($A22,Roster!$I$3:$I$149,0)),"")</f>
        <v/>
      </c>
      <c r="C22" s="8" t="str">
        <f aca="false">IFERROR(INDEX(Roster!$B$3:$B$149,MATCH($A22,Roster!$I$3:$I$149,0)),"")</f>
        <v/>
      </c>
      <c r="D22" s="8" t="str">
        <f aca="false">IFERROR(INDEX(Roster!$C$3:$C$149,MATCH($A22,Roster!$I$3:$I$149,0)),"")</f>
        <v/>
      </c>
      <c r="E22" s="8" t="str">
        <f aca="false">IFERROR(INDEX(Roster!$E$3:$E$149,MATCH($A22,Roster!$I$3:$I$149,0)),"")</f>
        <v/>
      </c>
      <c r="F22" s="8" t="str">
        <f aca="false">IFERROR(INDEX(Roster!$G$3:$G$149,MATCH($A22,Roster!$I$3:$I$149,0)),"")</f>
        <v/>
      </c>
    </row>
    <row r="23" customFormat="false" ht="15" hidden="false" customHeight="false" outlineLevel="0" collapsed="false">
      <c r="A23" s="8" t="n">
        <v>20</v>
      </c>
      <c r="B23" s="8" t="str">
        <f aca="false">IFERROR(INDEX(Roster!$A$3:$A$149,MATCH($A23,Roster!$I$3:$I$149,0)),"")</f>
        <v/>
      </c>
      <c r="C23" s="8" t="str">
        <f aca="false">IFERROR(INDEX(Roster!$B$3:$B$149,MATCH($A23,Roster!$I$3:$I$149,0)),"")</f>
        <v/>
      </c>
      <c r="D23" s="8" t="str">
        <f aca="false">IFERROR(INDEX(Roster!$C$3:$C$149,MATCH($A23,Roster!$I$3:$I$149,0)),"")</f>
        <v/>
      </c>
      <c r="E23" s="8" t="str">
        <f aca="false">IFERROR(INDEX(Roster!$E$3:$E$149,MATCH($A23,Roster!$I$3:$I$149,0)),"")</f>
        <v/>
      </c>
      <c r="F23" s="8" t="str">
        <f aca="false">IFERROR(INDEX(Roster!$G$3:$G$149,MATCH($A23,Roster!$I$3:$I$149,0)),"")</f>
        <v/>
      </c>
    </row>
    <row r="24" customFormat="false" ht="15" hidden="false" customHeight="false" outlineLevel="0" collapsed="false">
      <c r="A24" s="8" t="n">
        <v>21</v>
      </c>
      <c r="B24" s="8" t="str">
        <f aca="false">IFERROR(INDEX(Roster!$A$3:$A$149,MATCH($A24,Roster!$I$3:$I$149,0)),"")</f>
        <v/>
      </c>
      <c r="C24" s="8" t="str">
        <f aca="false">IFERROR(INDEX(Roster!$B$3:$B$149,MATCH($A24,Roster!$I$3:$I$149,0)),"")</f>
        <v/>
      </c>
      <c r="D24" s="8" t="str">
        <f aca="false">IFERROR(INDEX(Roster!$C$3:$C$149,MATCH($A24,Roster!$I$3:$I$149,0)),"")</f>
        <v/>
      </c>
      <c r="E24" s="8" t="str">
        <f aca="false">IFERROR(INDEX(Roster!$E$3:$E$149,MATCH($A24,Roster!$I$3:$I$149,0)),"")</f>
        <v/>
      </c>
      <c r="F24" s="8" t="str">
        <f aca="false">IFERROR(INDEX(Roster!$G$3:$G$149,MATCH($A24,Roster!$I$3:$I$149,0)),"")</f>
        <v/>
      </c>
    </row>
    <row r="25" customFormat="false" ht="15" hidden="false" customHeight="false" outlineLevel="0" collapsed="false">
      <c r="A25" s="8" t="n">
        <v>22</v>
      </c>
      <c r="B25" s="8" t="str">
        <f aca="false">IFERROR(INDEX(Roster!$A$3:$A$149,MATCH($A25,Roster!$I$3:$I$149,0)),"")</f>
        <v/>
      </c>
      <c r="C25" s="8" t="str">
        <f aca="false">IFERROR(INDEX(Roster!$B$3:$B$149,MATCH($A25,Roster!$I$3:$I$149,0)),"")</f>
        <v/>
      </c>
      <c r="D25" s="8" t="str">
        <f aca="false">IFERROR(INDEX(Roster!$C$3:$C$149,MATCH($A25,Roster!$I$3:$I$149,0)),"")</f>
        <v/>
      </c>
      <c r="E25" s="8" t="str">
        <f aca="false">IFERROR(INDEX(Roster!$E$3:$E$149,MATCH($A25,Roster!$I$3:$I$149,0)),"")</f>
        <v/>
      </c>
      <c r="F25" s="8" t="str">
        <f aca="false">IFERROR(INDEX(Roster!$G$3:$G$149,MATCH($A25,Roster!$I$3:$I$149,0)),"")</f>
        <v/>
      </c>
    </row>
    <row r="26" customFormat="false" ht="15" hidden="false" customHeight="false" outlineLevel="0" collapsed="false">
      <c r="A26" s="8" t="n">
        <v>23</v>
      </c>
      <c r="B26" s="8" t="str">
        <f aca="false">IFERROR(INDEX(Roster!$A$3:$A$149,MATCH($A26,Roster!$I$3:$I$149,0)),"")</f>
        <v/>
      </c>
      <c r="C26" s="8" t="str">
        <f aca="false">IFERROR(INDEX(Roster!$B$3:$B$149,MATCH($A26,Roster!$I$3:$I$149,0)),"")</f>
        <v/>
      </c>
      <c r="D26" s="8" t="str">
        <f aca="false">IFERROR(INDEX(Roster!$C$3:$C$149,MATCH($A26,Roster!$I$3:$I$149,0)),"")</f>
        <v/>
      </c>
      <c r="E26" s="8" t="str">
        <f aca="false">IFERROR(INDEX(Roster!$E$3:$E$149,MATCH($A26,Roster!$I$3:$I$149,0)),"")</f>
        <v/>
      </c>
      <c r="F26" s="8" t="str">
        <f aca="false">IFERROR(INDEX(Roster!$G$3:$G$149,MATCH($A26,Roster!$I$3:$I$149,0)),"")</f>
        <v/>
      </c>
    </row>
    <row r="27" customFormat="false" ht="15" hidden="false" customHeight="false" outlineLevel="0" collapsed="false">
      <c r="A27" s="8" t="n">
        <v>24</v>
      </c>
      <c r="B27" s="8" t="str">
        <f aca="false">IFERROR(INDEX(Roster!$A$3:$A$149,MATCH($A27,Roster!$I$3:$I$149,0)),"")</f>
        <v/>
      </c>
      <c r="C27" s="8" t="str">
        <f aca="false">IFERROR(INDEX(Roster!$B$3:$B$149,MATCH($A27,Roster!$I$3:$I$149,0)),"")</f>
        <v/>
      </c>
      <c r="D27" s="8" t="str">
        <f aca="false">IFERROR(INDEX(Roster!$C$3:$C$149,MATCH($A27,Roster!$I$3:$I$149,0)),"")</f>
        <v/>
      </c>
      <c r="E27" s="8" t="str">
        <f aca="false">IFERROR(INDEX(Roster!$E$3:$E$149,MATCH($A27,Roster!$I$3:$I$149,0)),"")</f>
        <v/>
      </c>
      <c r="F27" s="8" t="str">
        <f aca="false">IFERROR(INDEX(Roster!$G$3:$G$149,MATCH($A27,Roster!$I$3:$I$149,0)),"")</f>
        <v/>
      </c>
    </row>
    <row r="28" customFormat="false" ht="15" hidden="false" customHeight="false" outlineLevel="0" collapsed="false">
      <c r="A28" s="8" t="n">
        <v>25</v>
      </c>
      <c r="B28" s="8" t="str">
        <f aca="false">IFERROR(INDEX(Roster!$A$3:$A$149,MATCH($A28,Roster!$I$3:$I$149,0)),"")</f>
        <v/>
      </c>
      <c r="C28" s="8" t="str">
        <f aca="false">IFERROR(INDEX(Roster!$B$3:$B$149,MATCH($A28,Roster!$I$3:$I$149,0)),"")</f>
        <v/>
      </c>
      <c r="D28" s="8" t="str">
        <f aca="false">IFERROR(INDEX(Roster!$C$3:$C$149,MATCH($A28,Roster!$I$3:$I$149,0)),"")</f>
        <v/>
      </c>
      <c r="E28" s="8" t="str">
        <f aca="false">IFERROR(INDEX(Roster!$E$3:$E$149,MATCH($A28,Roster!$I$3:$I$149,0)),"")</f>
        <v/>
      </c>
      <c r="F28" s="8" t="str">
        <f aca="false">IFERROR(INDEX(Roster!$G$3:$G$149,MATCH($A28,Roster!$I$3:$I$149,0)),"")</f>
        <v/>
      </c>
    </row>
    <row r="29" customFormat="false" ht="15" hidden="false" customHeight="false" outlineLevel="0" collapsed="false">
      <c r="A29" s="8" t="n">
        <v>26</v>
      </c>
      <c r="B29" s="8" t="str">
        <f aca="false">IFERROR(INDEX(Roster!$A$3:$A$149,MATCH($A29,Roster!$I$3:$I$149,0)),"")</f>
        <v/>
      </c>
      <c r="C29" s="8" t="str">
        <f aca="false">IFERROR(INDEX(Roster!$B$3:$B$149,MATCH($A29,Roster!$I$3:$I$149,0)),"")</f>
        <v/>
      </c>
      <c r="D29" s="8" t="str">
        <f aca="false">IFERROR(INDEX(Roster!$C$3:$C$149,MATCH($A29,Roster!$I$3:$I$149,0)),"")</f>
        <v/>
      </c>
      <c r="E29" s="8" t="str">
        <f aca="false">IFERROR(INDEX(Roster!$E$3:$E$149,MATCH($A29,Roster!$I$3:$I$149,0)),"")</f>
        <v/>
      </c>
      <c r="F29" s="8" t="str">
        <f aca="false">IFERROR(INDEX(Roster!$G$3:$G$149,MATCH($A29,Roster!$I$3:$I$149,0)),"")</f>
        <v/>
      </c>
    </row>
    <row r="30" customFormat="false" ht="15" hidden="false" customHeight="false" outlineLevel="0" collapsed="false">
      <c r="A30" s="8" t="n">
        <v>27</v>
      </c>
      <c r="B30" s="8" t="str">
        <f aca="false">IFERROR(INDEX(Roster!$A$3:$A$149,MATCH($A30,Roster!$I$3:$I$149,0)),"")</f>
        <v/>
      </c>
      <c r="C30" s="8" t="str">
        <f aca="false">IFERROR(INDEX(Roster!$B$3:$B$149,MATCH($A30,Roster!$I$3:$I$149,0)),"")</f>
        <v/>
      </c>
      <c r="D30" s="8" t="str">
        <f aca="false">IFERROR(INDEX(Roster!$C$3:$C$149,MATCH($A30,Roster!$I$3:$I$149,0)),"")</f>
        <v/>
      </c>
      <c r="E30" s="8" t="str">
        <f aca="false">IFERROR(INDEX(Roster!$E$3:$E$149,MATCH($A30,Roster!$I$3:$I$149,0)),"")</f>
        <v/>
      </c>
      <c r="F30" s="8" t="str">
        <f aca="false">IFERROR(INDEX(Roster!$G$3:$G$149,MATCH($A30,Roster!$I$3:$I$149,0)),"")</f>
        <v/>
      </c>
    </row>
    <row r="31" customFormat="false" ht="15" hidden="false" customHeight="false" outlineLevel="0" collapsed="false">
      <c r="A31" s="8" t="n">
        <v>28</v>
      </c>
      <c r="B31" s="8" t="str">
        <f aca="false">IFERROR(INDEX(Roster!$A$3:$A$149,MATCH($A31,Roster!$I$3:$I$149,0)),"")</f>
        <v/>
      </c>
      <c r="C31" s="8" t="str">
        <f aca="false">IFERROR(INDEX(Roster!$B$3:$B$149,MATCH($A31,Roster!$I$3:$I$149,0)),"")</f>
        <v/>
      </c>
      <c r="D31" s="8" t="str">
        <f aca="false">IFERROR(INDEX(Roster!$C$3:$C$149,MATCH($A31,Roster!$I$3:$I$149,0)),"")</f>
        <v/>
      </c>
      <c r="E31" s="8" t="str">
        <f aca="false">IFERROR(INDEX(Roster!$E$3:$E$149,MATCH($A31,Roster!$I$3:$I$149,0)),"")</f>
        <v/>
      </c>
      <c r="F31" s="8" t="str">
        <f aca="false">IFERROR(INDEX(Roster!$G$3:$G$149,MATCH($A31,Roster!$I$3:$I$149,0)),"")</f>
        <v/>
      </c>
    </row>
    <row r="32" customFormat="false" ht="15" hidden="false" customHeight="false" outlineLevel="0" collapsed="false">
      <c r="A32" s="8" t="n">
        <v>29</v>
      </c>
      <c r="B32" s="8" t="str">
        <f aca="false">IFERROR(INDEX(Roster!$A$3:$A$149,MATCH($A32,Roster!$I$3:$I$149,0)),"")</f>
        <v/>
      </c>
      <c r="C32" s="8" t="str">
        <f aca="false">IFERROR(INDEX(Roster!$B$3:$B$149,MATCH($A32,Roster!$I$3:$I$149,0)),"")</f>
        <v/>
      </c>
      <c r="D32" s="8" t="str">
        <f aca="false">IFERROR(INDEX(Roster!$C$3:$C$149,MATCH($A32,Roster!$I$3:$I$149,0)),"")</f>
        <v/>
      </c>
      <c r="E32" s="8" t="str">
        <f aca="false">IFERROR(INDEX(Roster!$E$3:$E$149,MATCH($A32,Roster!$I$3:$I$149,0)),"")</f>
        <v/>
      </c>
      <c r="F32" s="8" t="str">
        <f aca="false">IFERROR(INDEX(Roster!$G$3:$G$149,MATCH($A32,Roster!$I$3:$I$149,0)),"")</f>
        <v/>
      </c>
    </row>
    <row r="33" customFormat="false" ht="15" hidden="false" customHeight="false" outlineLevel="0" collapsed="false">
      <c r="A33" s="8" t="n">
        <v>30</v>
      </c>
      <c r="B33" s="8" t="str">
        <f aca="false">IFERROR(INDEX(Roster!$A$3:$A$149,MATCH($A33,Roster!$I$3:$I$149,0)),"")</f>
        <v/>
      </c>
      <c r="C33" s="8" t="str">
        <f aca="false">IFERROR(INDEX(Roster!$B$3:$B$149,MATCH($A33,Roster!$I$3:$I$149,0)),"")</f>
        <v/>
      </c>
      <c r="D33" s="8" t="str">
        <f aca="false">IFERROR(INDEX(Roster!$C$3:$C$149,MATCH($A33,Roster!$I$3:$I$149,0)),"")</f>
        <v/>
      </c>
      <c r="E33" s="8" t="str">
        <f aca="false">IFERROR(INDEX(Roster!$E$3:$E$149,MATCH($A33,Roster!$I$3:$I$149,0)),"")</f>
        <v/>
      </c>
      <c r="F33" s="8" t="str">
        <f aca="false">IFERROR(INDEX(Roster!$G$3:$G$149,MATCH($A33,Roster!$I$3:$I$149,0)),"")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2026-10-11T23:09:05Z</dcterms:created>
  <dc:creator>openpyxl</dc:creator>
  <dc:description/>
  <dc:language>en-US</dc:language>
  <cp:lastModifiedBy/>
  <dcterms:modified xsi:type="dcterms:W3CDTF">2026-10-11T23:09:05Z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