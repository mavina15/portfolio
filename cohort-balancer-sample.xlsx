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" sheetId="1" state="visible" r:id="rId3"/>
    <sheet name="Balance" sheetId="2" state="visible" r:id="rId4"/>
    <sheet name="5A" sheetId="3" state="visible" r:id="rId5"/>
    <sheet name="5B" sheetId="4" state="visible" r:id="rId6"/>
    <sheet name="5C" sheetId="5" state="visible" r:id="rId7"/>
    <sheet name="5D" sheetId="6" state="visible" r:id="rId8"/>
  </sheets>
  <definedNames>
    <definedName function="false" hidden="true" localSheetId="0" name="_xlnm._FilterDatabase" vbProcedure="false">Students!$A$2:$K$114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<sst xmlns="http://schemas.openxmlformats.org/spreadsheetml/2006/main" count="1070" uniqueCount="158">
  <si>
    <t xml:space="preserve">Sample data. All 112 students are fictional. Change a student's Cohort (blue column K) and the Balance tab updates.</t>
  </si>
  <si>
    <t xml:space="preserve">Student ID</t>
  </si>
  <si>
    <t xml:space="preserve">Reading Score</t>
  </si>
  <si>
    <t xml:space="preserve">Reading Placement</t>
  </si>
  <si>
    <t xml:space="preserve">Math Score</t>
  </si>
  <si>
    <t xml:space="preserve">Math Placement</t>
  </si>
  <si>
    <t xml:space="preserve">Gender</t>
  </si>
  <si>
    <t xml:space="preserve">IEP</t>
  </si>
  <si>
    <t xml:space="preserve">504</t>
  </si>
  <si>
    <t xml:space="preserve">Race/Ethnicity</t>
  </si>
  <si>
    <t xml:space="preserve">English Learner</t>
  </si>
  <si>
    <t xml:space="preserve">Cohort</t>
  </si>
  <si>
    <t xml:space="preserve">#in cohort</t>
  </si>
  <si>
    <t xml:space="preserve">S-001</t>
  </si>
  <si>
    <t xml:space="preserve">Grade 5</t>
  </si>
  <si>
    <t xml:space="preserve">Grade 3</t>
  </si>
  <si>
    <t xml:space="preserve">Girl</t>
  </si>
  <si>
    <t xml:space="preserve">No</t>
  </si>
  <si>
    <t xml:space="preserve">Hispanic/Latino</t>
  </si>
  <si>
    <t xml:space="preserve">5A</t>
  </si>
  <si>
    <t xml:space="preserve">S-002</t>
  </si>
  <si>
    <t xml:space="preserve">S-003</t>
  </si>
  <si>
    <t xml:space="preserve">Boy</t>
  </si>
  <si>
    <t xml:space="preserve">S-004</t>
  </si>
  <si>
    <t xml:space="preserve">Grade 4</t>
  </si>
  <si>
    <t xml:space="preserve">Yes</t>
  </si>
  <si>
    <t xml:space="preserve">5C</t>
  </si>
  <si>
    <t xml:space="preserve">S-005</t>
  </si>
  <si>
    <t xml:space="preserve">Grade 2</t>
  </si>
  <si>
    <t xml:space="preserve">Asian</t>
  </si>
  <si>
    <t xml:space="preserve">S-006</t>
  </si>
  <si>
    <t xml:space="preserve">S-007</t>
  </si>
  <si>
    <t xml:space="preserve">Grade 1</t>
  </si>
  <si>
    <t xml:space="preserve">White</t>
  </si>
  <si>
    <t xml:space="preserve">5D</t>
  </si>
  <si>
    <t xml:space="preserve">S-008</t>
  </si>
  <si>
    <t xml:space="preserve">5B</t>
  </si>
  <si>
    <t xml:space="preserve">S-009</t>
  </si>
  <si>
    <t xml:space="preserve">Black</t>
  </si>
  <si>
    <t xml:space="preserve">S-010</t>
  </si>
  <si>
    <t xml:space="preserve">S-011</t>
  </si>
  <si>
    <t xml:space="preserve">S-012</t>
  </si>
  <si>
    <t xml:space="preserve">S-013</t>
  </si>
  <si>
    <t xml:space="preserve">S-014</t>
  </si>
  <si>
    <t xml:space="preserve">S-015</t>
  </si>
  <si>
    <t xml:space="preserve">S-016</t>
  </si>
  <si>
    <t xml:space="preserve">S-017</t>
  </si>
  <si>
    <t xml:space="preserve">S-018</t>
  </si>
  <si>
    <t xml:space="preserve">S-019</t>
  </si>
  <si>
    <t xml:space="preserve">S-020</t>
  </si>
  <si>
    <t xml:space="preserve">S-021</t>
  </si>
  <si>
    <t xml:space="preserve">S-022</t>
  </si>
  <si>
    <t xml:space="preserve">S-023</t>
  </si>
  <si>
    <t xml:space="preserve">S-024</t>
  </si>
  <si>
    <t xml:space="preserve">S-025</t>
  </si>
  <si>
    <t xml:space="preserve">S-026</t>
  </si>
  <si>
    <t xml:space="preserve">S-027</t>
  </si>
  <si>
    <t xml:space="preserve">S-028</t>
  </si>
  <si>
    <t xml:space="preserve">S-029</t>
  </si>
  <si>
    <t xml:space="preserve">S-030</t>
  </si>
  <si>
    <t xml:space="preserve">S-031</t>
  </si>
  <si>
    <t xml:space="preserve">S-032</t>
  </si>
  <si>
    <t xml:space="preserve">S-033</t>
  </si>
  <si>
    <t xml:space="preserve">S-034</t>
  </si>
  <si>
    <t xml:space="preserve">S-035</t>
  </si>
  <si>
    <t xml:space="preserve">S-036</t>
  </si>
  <si>
    <t xml:space="preserve">S-037</t>
  </si>
  <si>
    <t xml:space="preserve">S-038</t>
  </si>
  <si>
    <t xml:space="preserve">S-039</t>
  </si>
  <si>
    <t xml:space="preserve">S-040</t>
  </si>
  <si>
    <t xml:space="preserve">S-041</t>
  </si>
  <si>
    <t xml:space="preserve">S-042</t>
  </si>
  <si>
    <t xml:space="preserve">S-043</t>
  </si>
  <si>
    <t xml:space="preserve">S-044</t>
  </si>
  <si>
    <t xml:space="preserve">S-045</t>
  </si>
  <si>
    <t xml:space="preserve">S-046</t>
  </si>
  <si>
    <t xml:space="preserve">S-047</t>
  </si>
  <si>
    <t xml:space="preserve">S-048</t>
  </si>
  <si>
    <t xml:space="preserve">S-049</t>
  </si>
  <si>
    <t xml:space="preserve">S-050</t>
  </si>
  <si>
    <t xml:space="preserve">S-051</t>
  </si>
  <si>
    <t xml:space="preserve">S-052</t>
  </si>
  <si>
    <t xml:space="preserve">S-053</t>
  </si>
  <si>
    <t xml:space="preserve">S-054</t>
  </si>
  <si>
    <t xml:space="preserve">S-055</t>
  </si>
  <si>
    <t xml:space="preserve">S-056</t>
  </si>
  <si>
    <t xml:space="preserve">S-057</t>
  </si>
  <si>
    <t xml:space="preserve">S-058</t>
  </si>
  <si>
    <t xml:space="preserve">S-059</t>
  </si>
  <si>
    <t xml:space="preserve">S-060</t>
  </si>
  <si>
    <t xml:space="preserve">S-061</t>
  </si>
  <si>
    <t xml:space="preserve">S-062</t>
  </si>
  <si>
    <t xml:space="preserve">S-063</t>
  </si>
  <si>
    <t xml:space="preserve">S-064</t>
  </si>
  <si>
    <t xml:space="preserve">S-065</t>
  </si>
  <si>
    <t xml:space="preserve">S-066</t>
  </si>
  <si>
    <t xml:space="preserve">S-067</t>
  </si>
  <si>
    <t xml:space="preserve">S-068</t>
  </si>
  <si>
    <t xml:space="preserve">S-069</t>
  </si>
  <si>
    <t xml:space="preserve">S-070</t>
  </si>
  <si>
    <t xml:space="preserve">S-071</t>
  </si>
  <si>
    <t xml:space="preserve">S-072</t>
  </si>
  <si>
    <t xml:space="preserve">S-073</t>
  </si>
  <si>
    <t xml:space="preserve">S-074</t>
  </si>
  <si>
    <t xml:space="preserve">S-075</t>
  </si>
  <si>
    <t xml:space="preserve">S-076</t>
  </si>
  <si>
    <t xml:space="preserve">S-077</t>
  </si>
  <si>
    <t xml:space="preserve">S-078</t>
  </si>
  <si>
    <t xml:space="preserve">S-079</t>
  </si>
  <si>
    <t xml:space="preserve">S-080</t>
  </si>
  <si>
    <t xml:space="preserve">S-081</t>
  </si>
  <si>
    <t xml:space="preserve">S-082</t>
  </si>
  <si>
    <t xml:space="preserve">S-083</t>
  </si>
  <si>
    <t xml:space="preserve">S-084</t>
  </si>
  <si>
    <t xml:space="preserve">S-085</t>
  </si>
  <si>
    <t xml:space="preserve">S-086</t>
  </si>
  <si>
    <t xml:space="preserve">S-087</t>
  </si>
  <si>
    <t xml:space="preserve">S-088</t>
  </si>
  <si>
    <t xml:space="preserve">S-089</t>
  </si>
  <si>
    <t xml:space="preserve">S-090</t>
  </si>
  <si>
    <t xml:space="preserve">S-091</t>
  </si>
  <si>
    <t xml:space="preserve">S-092</t>
  </si>
  <si>
    <t xml:space="preserve">S-093</t>
  </si>
  <si>
    <t xml:space="preserve">S-094</t>
  </si>
  <si>
    <t xml:space="preserve">S-095</t>
  </si>
  <si>
    <t xml:space="preserve">S-096</t>
  </si>
  <si>
    <t xml:space="preserve">S-097</t>
  </si>
  <si>
    <t xml:space="preserve">S-098</t>
  </si>
  <si>
    <t xml:space="preserve">S-099</t>
  </si>
  <si>
    <t xml:space="preserve">S-100</t>
  </si>
  <si>
    <t xml:space="preserve">S-101</t>
  </si>
  <si>
    <t xml:space="preserve">S-102</t>
  </si>
  <si>
    <t xml:space="preserve">S-103</t>
  </si>
  <si>
    <t xml:space="preserve">S-104</t>
  </si>
  <si>
    <t xml:space="preserve">S-105</t>
  </si>
  <si>
    <t xml:space="preserve">S-106</t>
  </si>
  <si>
    <t xml:space="preserve">S-107</t>
  </si>
  <si>
    <t xml:space="preserve">S-108</t>
  </si>
  <si>
    <t xml:space="preserve">S-109</t>
  </si>
  <si>
    <t xml:space="preserve">S-110</t>
  </si>
  <si>
    <t xml:space="preserve">S-111</t>
  </si>
  <si>
    <t xml:space="preserve">S-112</t>
  </si>
  <si>
    <t xml:space="preserve">Cohort balance (updates when a student's cohort changes)</t>
  </si>
  <si>
    <t xml:space="preserve">Spread = highest cohort minus lowest. Green means balanced (within 1 student, or within 10 points for average scores).</t>
  </si>
  <si>
    <t xml:space="preserve">Measure</t>
  </si>
  <si>
    <t xml:space="preserve">Spread</t>
  </si>
  <si>
    <t xml:space="preserve">Students</t>
  </si>
  <si>
    <t xml:space="preserve">Avg reading score</t>
  </si>
  <si>
    <t xml:space="preserve">Avg math score</t>
  </si>
  <si>
    <t xml:space="preserve">Girls</t>
  </si>
  <si>
    <t xml:space="preserve">Boys</t>
  </si>
  <si>
    <t xml:space="preserve">English learners</t>
  </si>
  <si>
    <t xml:space="preserve">English speakers</t>
  </si>
  <si>
    <t xml:space="preserve">Cohort 5A</t>
  </si>
  <si>
    <t xml:space="preserve">#</t>
  </si>
  <si>
    <t xml:space="preserve">Cohort 5B</t>
  </si>
  <si>
    <t xml:space="preserve">Cohort 5C</t>
  </si>
  <si>
    <t xml:space="preserve">Cohort 5D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</si>
</sst>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555555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A192F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A192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A192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8" min="7" style="0" width="7"/>
    <col collapsed="false" customWidth="true" hidden="false" outlineLevel="0" max="9" min="9" style="0" width="17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3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customFormat="false" ht="15" hidden="false" customHeight="false" outlineLevel="0" collapsed="false">
      <c r="A3" s="4" t="s">
        <v>13</v>
      </c>
      <c r="B3" s="4" t="n">
        <v>542</v>
      </c>
      <c r="C3" s="4" t="s">
        <v>14</v>
      </c>
      <c r="D3" s="4" t="n">
        <v>474</v>
      </c>
      <c r="E3" s="4" t="s">
        <v>15</v>
      </c>
      <c r="F3" s="4" t="s">
        <v>16</v>
      </c>
      <c r="G3" s="4" t="s">
        <v>17</v>
      </c>
      <c r="H3" s="4" t="s">
        <v>17</v>
      </c>
      <c r="I3" s="4" t="s">
        <v>18</v>
      </c>
      <c r="J3" s="4" t="s">
        <v>17</v>
      </c>
      <c r="K3" s="5" t="s">
        <v>19</v>
      </c>
      <c r="L3" s="4" t="n">
        <f aca="false">IF(K3="","",COUNTIF($K$3:K3,K3))</f>
        <v>1</v>
      </c>
    </row>
    <row r="4" customFormat="false" ht="15" hidden="false" customHeight="false" outlineLevel="0" collapsed="false">
      <c r="A4" s="4" t="s">
        <v>20</v>
      </c>
      <c r="B4" s="4" t="n">
        <v>537</v>
      </c>
      <c r="C4" s="4" t="s">
        <v>14</v>
      </c>
      <c r="D4" s="4" t="n">
        <v>473</v>
      </c>
      <c r="E4" s="4" t="s">
        <v>15</v>
      </c>
      <c r="F4" s="4" t="s">
        <v>16</v>
      </c>
      <c r="G4" s="4" t="s">
        <v>17</v>
      </c>
      <c r="H4" s="4" t="s">
        <v>17</v>
      </c>
      <c r="I4" s="4" t="s">
        <v>18</v>
      </c>
      <c r="J4" s="4" t="s">
        <v>17</v>
      </c>
      <c r="K4" s="5" t="s">
        <v>19</v>
      </c>
      <c r="L4" s="4" t="n">
        <f aca="false">IF(K4="","",COUNTIF($K$3:K4,K4))</f>
        <v>2</v>
      </c>
    </row>
    <row r="5" customFormat="false" ht="15" hidden="false" customHeight="false" outlineLevel="0" collapsed="false">
      <c r="A5" s="4" t="s">
        <v>21</v>
      </c>
      <c r="B5" s="4" t="n">
        <v>536</v>
      </c>
      <c r="C5" s="4" t="s">
        <v>14</v>
      </c>
      <c r="D5" s="4" t="n">
        <v>490</v>
      </c>
      <c r="E5" s="4" t="s">
        <v>15</v>
      </c>
      <c r="F5" s="4" t="s">
        <v>22</v>
      </c>
      <c r="G5" s="4" t="s">
        <v>17</v>
      </c>
      <c r="H5" s="4" t="s">
        <v>17</v>
      </c>
      <c r="I5" s="4" t="s">
        <v>18</v>
      </c>
      <c r="J5" s="4" t="s">
        <v>17</v>
      </c>
      <c r="K5" s="5" t="s">
        <v>19</v>
      </c>
      <c r="L5" s="4" t="n">
        <f aca="false">IF(K5="","",COUNTIF($K$3:K5,K5))</f>
        <v>3</v>
      </c>
    </row>
    <row r="6" customFormat="false" ht="15" hidden="false" customHeight="false" outlineLevel="0" collapsed="false">
      <c r="A6" s="4" t="s">
        <v>23</v>
      </c>
      <c r="B6" s="4" t="n">
        <v>548</v>
      </c>
      <c r="C6" s="4" t="s">
        <v>14</v>
      </c>
      <c r="D6" s="4" t="n">
        <v>535</v>
      </c>
      <c r="E6" s="4" t="s">
        <v>24</v>
      </c>
      <c r="F6" s="4" t="s">
        <v>16</v>
      </c>
      <c r="G6" s="4" t="s">
        <v>17</v>
      </c>
      <c r="H6" s="4" t="s">
        <v>17</v>
      </c>
      <c r="I6" s="4" t="s">
        <v>18</v>
      </c>
      <c r="J6" s="4" t="s">
        <v>25</v>
      </c>
      <c r="K6" s="5" t="s">
        <v>26</v>
      </c>
      <c r="L6" s="4" t="n">
        <f aca="false">IF(K6="","",COUNTIF($K$3:K6,K6))</f>
        <v>1</v>
      </c>
    </row>
    <row r="7" customFormat="false" ht="15" hidden="false" customHeight="false" outlineLevel="0" collapsed="false">
      <c r="A7" s="4" t="s">
        <v>27</v>
      </c>
      <c r="B7" s="4" t="n">
        <v>454</v>
      </c>
      <c r="C7" s="4" t="s">
        <v>28</v>
      </c>
      <c r="D7" s="4" t="n">
        <v>568</v>
      </c>
      <c r="E7" s="4" t="s">
        <v>14</v>
      </c>
      <c r="F7" s="4" t="s">
        <v>22</v>
      </c>
      <c r="G7" s="4" t="s">
        <v>17</v>
      </c>
      <c r="H7" s="4" t="s">
        <v>17</v>
      </c>
      <c r="I7" s="4" t="s">
        <v>29</v>
      </c>
      <c r="J7" s="4" t="s">
        <v>17</v>
      </c>
      <c r="K7" s="5" t="s">
        <v>26</v>
      </c>
      <c r="L7" s="4" t="n">
        <f aca="false">IF(K7="","",COUNTIF($K$3:K7,K7))</f>
        <v>2</v>
      </c>
    </row>
    <row r="8" customFormat="false" ht="15" hidden="false" customHeight="false" outlineLevel="0" collapsed="false">
      <c r="A8" s="4" t="s">
        <v>30</v>
      </c>
      <c r="B8" s="4" t="n">
        <v>549</v>
      </c>
      <c r="C8" s="4" t="s">
        <v>14</v>
      </c>
      <c r="D8" s="4" t="n">
        <v>516</v>
      </c>
      <c r="E8" s="4" t="s">
        <v>24</v>
      </c>
      <c r="F8" s="4" t="s">
        <v>22</v>
      </c>
      <c r="G8" s="4" t="s">
        <v>17</v>
      </c>
      <c r="H8" s="4" t="s">
        <v>17</v>
      </c>
      <c r="I8" s="4" t="s">
        <v>18</v>
      </c>
      <c r="J8" s="4" t="s">
        <v>17</v>
      </c>
      <c r="K8" s="5" t="s">
        <v>19</v>
      </c>
      <c r="L8" s="4" t="n">
        <f aca="false">IF(K8="","",COUNTIF($K$3:K8,K8))</f>
        <v>4</v>
      </c>
    </row>
    <row r="9" customFormat="false" ht="15" hidden="false" customHeight="false" outlineLevel="0" collapsed="false">
      <c r="A9" s="4" t="s">
        <v>31</v>
      </c>
      <c r="B9" s="4" t="n">
        <v>513</v>
      </c>
      <c r="C9" s="4" t="s">
        <v>24</v>
      </c>
      <c r="D9" s="4" t="n">
        <v>401</v>
      </c>
      <c r="E9" s="4" t="s">
        <v>32</v>
      </c>
      <c r="F9" s="4" t="s">
        <v>22</v>
      </c>
      <c r="G9" s="4" t="s">
        <v>17</v>
      </c>
      <c r="H9" s="4" t="s">
        <v>17</v>
      </c>
      <c r="I9" s="4" t="s">
        <v>33</v>
      </c>
      <c r="J9" s="4" t="s">
        <v>17</v>
      </c>
      <c r="K9" s="5" t="s">
        <v>34</v>
      </c>
      <c r="L9" s="4" t="n">
        <f aca="false">IF(K9="","",COUNTIF($K$3:K9,K9))</f>
        <v>1</v>
      </c>
    </row>
    <row r="10" customFormat="false" ht="15" hidden="false" customHeight="false" outlineLevel="0" collapsed="false">
      <c r="A10" s="4" t="s">
        <v>35</v>
      </c>
      <c r="B10" s="4" t="n">
        <v>546</v>
      </c>
      <c r="C10" s="4" t="s">
        <v>14</v>
      </c>
      <c r="D10" s="4" t="n">
        <v>573</v>
      </c>
      <c r="E10" s="4" t="s">
        <v>14</v>
      </c>
      <c r="F10" s="4" t="s">
        <v>22</v>
      </c>
      <c r="G10" s="4" t="s">
        <v>17</v>
      </c>
      <c r="H10" s="4" t="s">
        <v>17</v>
      </c>
      <c r="I10" s="4" t="s">
        <v>18</v>
      </c>
      <c r="J10" s="4" t="s">
        <v>17</v>
      </c>
      <c r="K10" s="5" t="s">
        <v>36</v>
      </c>
      <c r="L10" s="4" t="n">
        <f aca="false">IF(K10="","",COUNTIF($K$3:K10,K10))</f>
        <v>1</v>
      </c>
    </row>
    <row r="11" customFormat="false" ht="15" hidden="false" customHeight="false" outlineLevel="0" collapsed="false">
      <c r="A11" s="4" t="s">
        <v>37</v>
      </c>
      <c r="B11" s="4" t="n">
        <v>477</v>
      </c>
      <c r="C11" s="4" t="s">
        <v>15</v>
      </c>
      <c r="D11" s="4" t="n">
        <v>547</v>
      </c>
      <c r="E11" s="4" t="s">
        <v>14</v>
      </c>
      <c r="F11" s="4" t="s">
        <v>22</v>
      </c>
      <c r="G11" s="4" t="s">
        <v>17</v>
      </c>
      <c r="H11" s="4" t="s">
        <v>17</v>
      </c>
      <c r="I11" s="4" t="s">
        <v>38</v>
      </c>
      <c r="J11" s="4" t="s">
        <v>25</v>
      </c>
      <c r="K11" s="5" t="s">
        <v>19</v>
      </c>
      <c r="L11" s="4" t="n">
        <f aca="false">IF(K11="","",COUNTIF($K$3:K11,K11))</f>
        <v>5</v>
      </c>
    </row>
    <row r="12" customFormat="false" ht="15" hidden="false" customHeight="false" outlineLevel="0" collapsed="false">
      <c r="A12" s="4" t="s">
        <v>39</v>
      </c>
      <c r="B12" s="4" t="n">
        <v>575</v>
      </c>
      <c r="C12" s="4" t="s">
        <v>14</v>
      </c>
      <c r="D12" s="4" t="n">
        <v>547</v>
      </c>
      <c r="E12" s="4" t="s">
        <v>14</v>
      </c>
      <c r="F12" s="4" t="s">
        <v>16</v>
      </c>
      <c r="G12" s="4" t="s">
        <v>17</v>
      </c>
      <c r="H12" s="4" t="s">
        <v>17</v>
      </c>
      <c r="I12" s="4" t="s">
        <v>29</v>
      </c>
      <c r="J12" s="4" t="s">
        <v>17</v>
      </c>
      <c r="K12" s="5" t="s">
        <v>36</v>
      </c>
      <c r="L12" s="4" t="n">
        <f aca="false">IF(K12="","",COUNTIF($K$3:K12,K12))</f>
        <v>2</v>
      </c>
    </row>
    <row r="13" customFormat="false" ht="15" hidden="false" customHeight="false" outlineLevel="0" collapsed="false">
      <c r="A13" s="4" t="s">
        <v>40</v>
      </c>
      <c r="B13" s="4" t="n">
        <v>532</v>
      </c>
      <c r="C13" s="4" t="s">
        <v>24</v>
      </c>
      <c r="D13" s="4" t="n">
        <v>558</v>
      </c>
      <c r="E13" s="4" t="s">
        <v>14</v>
      </c>
      <c r="F13" s="4" t="s">
        <v>22</v>
      </c>
      <c r="G13" s="4" t="s">
        <v>17</v>
      </c>
      <c r="H13" s="4" t="s">
        <v>25</v>
      </c>
      <c r="I13" s="4" t="s">
        <v>18</v>
      </c>
      <c r="J13" s="4" t="s">
        <v>25</v>
      </c>
      <c r="K13" s="5" t="s">
        <v>34</v>
      </c>
      <c r="L13" s="4" t="n">
        <f aca="false">IF(K13="","",COUNTIF($K$3:K13,K13))</f>
        <v>2</v>
      </c>
    </row>
    <row r="14" customFormat="false" ht="15" hidden="false" customHeight="false" outlineLevel="0" collapsed="false">
      <c r="A14" s="4" t="s">
        <v>41</v>
      </c>
      <c r="B14" s="4" t="n">
        <v>496</v>
      </c>
      <c r="C14" s="4" t="s">
        <v>15</v>
      </c>
      <c r="D14" s="4" t="n">
        <v>396</v>
      </c>
      <c r="E14" s="4" t="s">
        <v>32</v>
      </c>
      <c r="F14" s="4" t="s">
        <v>22</v>
      </c>
      <c r="G14" s="4" t="s">
        <v>17</v>
      </c>
      <c r="H14" s="4" t="s">
        <v>17</v>
      </c>
      <c r="I14" s="4" t="s">
        <v>18</v>
      </c>
      <c r="J14" s="4" t="s">
        <v>25</v>
      </c>
      <c r="K14" s="5" t="s">
        <v>36</v>
      </c>
      <c r="L14" s="4" t="n">
        <f aca="false">IF(K14="","",COUNTIF($K$3:K14,K14))</f>
        <v>3</v>
      </c>
    </row>
    <row r="15" customFormat="false" ht="15" hidden="false" customHeight="false" outlineLevel="0" collapsed="false">
      <c r="A15" s="4" t="s">
        <v>42</v>
      </c>
      <c r="B15" s="4" t="n">
        <v>572</v>
      </c>
      <c r="C15" s="4" t="s">
        <v>14</v>
      </c>
      <c r="D15" s="4" t="n">
        <v>546</v>
      </c>
      <c r="E15" s="4" t="s">
        <v>14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  <c r="K15" s="5" t="s">
        <v>26</v>
      </c>
      <c r="L15" s="4" t="n">
        <f aca="false">IF(K15="","",COUNTIF($K$3:K15,K15))</f>
        <v>3</v>
      </c>
    </row>
    <row r="16" customFormat="false" ht="15" hidden="false" customHeight="false" outlineLevel="0" collapsed="false">
      <c r="A16" s="4" t="s">
        <v>43</v>
      </c>
      <c r="B16" s="4" t="n">
        <v>442</v>
      </c>
      <c r="C16" s="4" t="s">
        <v>28</v>
      </c>
      <c r="D16" s="4" t="n">
        <v>414</v>
      </c>
      <c r="E16" s="4" t="s">
        <v>32</v>
      </c>
      <c r="F16" s="4" t="s">
        <v>16</v>
      </c>
      <c r="G16" s="4" t="s">
        <v>17</v>
      </c>
      <c r="H16" s="4" t="s">
        <v>17</v>
      </c>
      <c r="I16" s="4" t="s">
        <v>38</v>
      </c>
      <c r="J16" s="4" t="s">
        <v>17</v>
      </c>
      <c r="K16" s="5" t="s">
        <v>26</v>
      </c>
      <c r="L16" s="4" t="n">
        <f aca="false">IF(K16="","",COUNTIF($K$3:K16,K16))</f>
        <v>4</v>
      </c>
    </row>
    <row r="17" customFormat="false" ht="15" hidden="false" customHeight="false" outlineLevel="0" collapsed="false">
      <c r="A17" s="4" t="s">
        <v>44</v>
      </c>
      <c r="B17" s="4" t="n">
        <v>514</v>
      </c>
      <c r="C17" s="4" t="s">
        <v>24</v>
      </c>
      <c r="D17" s="4" t="n">
        <v>539</v>
      </c>
      <c r="E17" s="4" t="s">
        <v>24</v>
      </c>
      <c r="F17" s="4" t="s">
        <v>22</v>
      </c>
      <c r="G17" s="4" t="s">
        <v>17</v>
      </c>
      <c r="H17" s="4" t="s">
        <v>17</v>
      </c>
      <c r="I17" s="4" t="s">
        <v>18</v>
      </c>
      <c r="J17" s="4" t="s">
        <v>17</v>
      </c>
      <c r="K17" s="5" t="s">
        <v>34</v>
      </c>
      <c r="L17" s="4" t="n">
        <f aca="false">IF(K17="","",COUNTIF($K$3:K17,K17))</f>
        <v>3</v>
      </c>
    </row>
    <row r="18" customFormat="false" ht="15" hidden="false" customHeight="false" outlineLevel="0" collapsed="false">
      <c r="A18" s="4" t="s">
        <v>45</v>
      </c>
      <c r="B18" s="4" t="n">
        <v>522</v>
      </c>
      <c r="C18" s="4" t="s">
        <v>24</v>
      </c>
      <c r="D18" s="4" t="n">
        <v>483</v>
      </c>
      <c r="E18" s="4" t="s">
        <v>15</v>
      </c>
      <c r="F18" s="4" t="s">
        <v>22</v>
      </c>
      <c r="G18" s="4" t="s">
        <v>17</v>
      </c>
      <c r="H18" s="4" t="s">
        <v>17</v>
      </c>
      <c r="I18" s="4" t="s">
        <v>29</v>
      </c>
      <c r="J18" s="4" t="s">
        <v>25</v>
      </c>
      <c r="K18" s="5" t="s">
        <v>26</v>
      </c>
      <c r="L18" s="4" t="n">
        <f aca="false">IF(K18="","",COUNTIF($K$3:K18,K18))</f>
        <v>5</v>
      </c>
    </row>
    <row r="19" customFormat="false" ht="15" hidden="false" customHeight="false" outlineLevel="0" collapsed="false">
      <c r="A19" s="4" t="s">
        <v>46</v>
      </c>
      <c r="B19" s="4" t="n">
        <v>509</v>
      </c>
      <c r="C19" s="4" t="s">
        <v>24</v>
      </c>
      <c r="D19" s="4" t="n">
        <v>554</v>
      </c>
      <c r="E19" s="4" t="s">
        <v>14</v>
      </c>
      <c r="F19" s="4" t="s">
        <v>16</v>
      </c>
      <c r="G19" s="4" t="s">
        <v>17</v>
      </c>
      <c r="H19" s="4" t="s">
        <v>17</v>
      </c>
      <c r="I19" s="4" t="s">
        <v>38</v>
      </c>
      <c r="J19" s="4" t="s">
        <v>25</v>
      </c>
      <c r="K19" s="5" t="s">
        <v>34</v>
      </c>
      <c r="L19" s="4" t="n">
        <f aca="false">IF(K19="","",COUNTIF($K$3:K19,K19))</f>
        <v>4</v>
      </c>
    </row>
    <row r="20" customFormat="false" ht="15" hidden="false" customHeight="false" outlineLevel="0" collapsed="false">
      <c r="A20" s="4" t="s">
        <v>47</v>
      </c>
      <c r="B20" s="4" t="n">
        <v>467</v>
      </c>
      <c r="C20" s="4" t="s">
        <v>15</v>
      </c>
      <c r="D20" s="4" t="n">
        <v>574</v>
      </c>
      <c r="E20" s="4" t="s">
        <v>14</v>
      </c>
      <c r="F20" s="4" t="s">
        <v>22</v>
      </c>
      <c r="G20" s="4" t="s">
        <v>17</v>
      </c>
      <c r="H20" s="4" t="s">
        <v>17</v>
      </c>
      <c r="I20" s="4" t="s">
        <v>29</v>
      </c>
      <c r="J20" s="4" t="s">
        <v>17</v>
      </c>
      <c r="K20" s="5" t="s">
        <v>26</v>
      </c>
      <c r="L20" s="4" t="n">
        <f aca="false">IF(K20="","",COUNTIF($K$3:K20,K20))</f>
        <v>6</v>
      </c>
    </row>
    <row r="21" customFormat="false" ht="15" hidden="false" customHeight="false" outlineLevel="0" collapsed="false">
      <c r="A21" s="4" t="s">
        <v>48</v>
      </c>
      <c r="B21" s="4" t="n">
        <v>528</v>
      </c>
      <c r="C21" s="4" t="s">
        <v>24</v>
      </c>
      <c r="D21" s="4" t="n">
        <v>512</v>
      </c>
      <c r="E21" s="4" t="s">
        <v>24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  <c r="K21" s="5" t="s">
        <v>36</v>
      </c>
      <c r="L21" s="4" t="n">
        <f aca="false">IF(K21="","",COUNTIF($K$3:K21,K21))</f>
        <v>4</v>
      </c>
    </row>
    <row r="22" customFormat="false" ht="15" hidden="false" customHeight="false" outlineLevel="0" collapsed="false">
      <c r="A22" s="4" t="s">
        <v>49</v>
      </c>
      <c r="B22" s="4" t="n">
        <v>469</v>
      </c>
      <c r="C22" s="4" t="s">
        <v>15</v>
      </c>
      <c r="D22" s="4" t="n">
        <v>434</v>
      </c>
      <c r="E22" s="4" t="s">
        <v>32</v>
      </c>
      <c r="F22" s="4" t="s">
        <v>22</v>
      </c>
      <c r="G22" s="4" t="s">
        <v>17</v>
      </c>
      <c r="H22" s="4" t="s">
        <v>17</v>
      </c>
      <c r="I22" s="4" t="s">
        <v>38</v>
      </c>
      <c r="J22" s="4" t="s">
        <v>17</v>
      </c>
      <c r="K22" s="5" t="s">
        <v>36</v>
      </c>
      <c r="L22" s="4" t="n">
        <f aca="false">IF(K22="","",COUNTIF($K$3:K22,K22))</f>
        <v>5</v>
      </c>
    </row>
    <row r="23" customFormat="false" ht="15" hidden="false" customHeight="false" outlineLevel="0" collapsed="false">
      <c r="A23" s="4" t="s">
        <v>50</v>
      </c>
      <c r="B23" s="4" t="n">
        <v>504</v>
      </c>
      <c r="C23" s="4" t="s">
        <v>24</v>
      </c>
      <c r="D23" s="4" t="n">
        <v>519</v>
      </c>
      <c r="E23" s="4" t="s">
        <v>24</v>
      </c>
      <c r="F23" s="4" t="s">
        <v>22</v>
      </c>
      <c r="G23" s="4" t="s">
        <v>17</v>
      </c>
      <c r="H23" s="4" t="s">
        <v>17</v>
      </c>
      <c r="I23" s="4" t="s">
        <v>18</v>
      </c>
      <c r="J23" s="4" t="s">
        <v>25</v>
      </c>
      <c r="K23" s="5" t="s">
        <v>34</v>
      </c>
      <c r="L23" s="4" t="n">
        <f aca="false">IF(K23="","",COUNTIF($K$3:K23,K23))</f>
        <v>5</v>
      </c>
    </row>
    <row r="24" customFormat="false" ht="15" hidden="false" customHeight="false" outlineLevel="0" collapsed="false">
      <c r="A24" s="4" t="s">
        <v>51</v>
      </c>
      <c r="B24" s="4" t="n">
        <v>550</v>
      </c>
      <c r="C24" s="4" t="s">
        <v>14</v>
      </c>
      <c r="D24" s="4" t="n">
        <v>525</v>
      </c>
      <c r="E24" s="4" t="s">
        <v>24</v>
      </c>
      <c r="F24" s="4" t="s">
        <v>16</v>
      </c>
      <c r="G24" s="4" t="s">
        <v>17</v>
      </c>
      <c r="H24" s="4" t="s">
        <v>17</v>
      </c>
      <c r="I24" s="4" t="s">
        <v>38</v>
      </c>
      <c r="J24" s="4" t="s">
        <v>17</v>
      </c>
      <c r="K24" s="5" t="s">
        <v>34</v>
      </c>
      <c r="L24" s="4" t="n">
        <f aca="false">IF(K24="","",COUNTIF($K$3:K24,K24))</f>
        <v>6</v>
      </c>
    </row>
    <row r="25" customFormat="false" ht="15" hidden="false" customHeight="false" outlineLevel="0" collapsed="false">
      <c r="A25" s="4" t="s">
        <v>52</v>
      </c>
      <c r="B25" s="4" t="n">
        <v>466</v>
      </c>
      <c r="C25" s="4" t="s">
        <v>28</v>
      </c>
      <c r="D25" s="4" t="n">
        <v>466</v>
      </c>
      <c r="E25" s="4" t="s">
        <v>15</v>
      </c>
      <c r="F25" s="4" t="s">
        <v>22</v>
      </c>
      <c r="G25" s="4" t="s">
        <v>17</v>
      </c>
      <c r="H25" s="4" t="s">
        <v>17</v>
      </c>
      <c r="I25" s="4" t="s">
        <v>18</v>
      </c>
      <c r="J25" s="4" t="s">
        <v>17</v>
      </c>
      <c r="K25" s="5" t="s">
        <v>34</v>
      </c>
      <c r="L25" s="4" t="n">
        <f aca="false">IF(K25="","",COUNTIF($K$3:K25,K25))</f>
        <v>7</v>
      </c>
    </row>
    <row r="26" customFormat="false" ht="15" hidden="false" customHeight="false" outlineLevel="0" collapsed="false">
      <c r="A26" s="4" t="s">
        <v>53</v>
      </c>
      <c r="B26" s="4" t="n">
        <v>411</v>
      </c>
      <c r="C26" s="4" t="s">
        <v>32</v>
      </c>
      <c r="D26" s="4" t="n">
        <v>524</v>
      </c>
      <c r="E26" s="4" t="s">
        <v>24</v>
      </c>
      <c r="F26" s="4" t="s">
        <v>22</v>
      </c>
      <c r="G26" s="4" t="s">
        <v>17</v>
      </c>
      <c r="H26" s="4" t="s">
        <v>17</v>
      </c>
      <c r="I26" s="4" t="s">
        <v>18</v>
      </c>
      <c r="J26" s="4" t="s">
        <v>17</v>
      </c>
      <c r="K26" s="5" t="s">
        <v>26</v>
      </c>
      <c r="L26" s="4" t="n">
        <f aca="false">IF(K26="","",COUNTIF($K$3:K26,K26))</f>
        <v>7</v>
      </c>
    </row>
    <row r="27" customFormat="false" ht="15" hidden="false" customHeight="false" outlineLevel="0" collapsed="false">
      <c r="A27" s="4" t="s">
        <v>54</v>
      </c>
      <c r="B27" s="4" t="n">
        <v>445</v>
      </c>
      <c r="C27" s="4" t="s">
        <v>28</v>
      </c>
      <c r="D27" s="4" t="n">
        <v>410</v>
      </c>
      <c r="E27" s="4" t="s">
        <v>32</v>
      </c>
      <c r="F27" s="4" t="s">
        <v>16</v>
      </c>
      <c r="G27" s="4" t="s">
        <v>17</v>
      </c>
      <c r="H27" s="4" t="s">
        <v>17</v>
      </c>
      <c r="I27" s="4" t="s">
        <v>33</v>
      </c>
      <c r="J27" s="4" t="s">
        <v>25</v>
      </c>
      <c r="K27" s="5" t="s">
        <v>36</v>
      </c>
      <c r="L27" s="4" t="n">
        <f aca="false">IF(K27="","",COUNTIF($K$3:K27,K27))</f>
        <v>6</v>
      </c>
    </row>
    <row r="28" customFormat="false" ht="15" hidden="false" customHeight="false" outlineLevel="0" collapsed="false">
      <c r="A28" s="4" t="s">
        <v>55</v>
      </c>
      <c r="B28" s="4" t="n">
        <v>570</v>
      </c>
      <c r="C28" s="4" t="s">
        <v>14</v>
      </c>
      <c r="D28" s="4" t="n">
        <v>550</v>
      </c>
      <c r="E28" s="4" t="s">
        <v>14</v>
      </c>
      <c r="F28" s="4" t="s">
        <v>22</v>
      </c>
      <c r="G28" s="4" t="s">
        <v>17</v>
      </c>
      <c r="H28" s="4" t="s">
        <v>17</v>
      </c>
      <c r="I28" s="4" t="s">
        <v>29</v>
      </c>
      <c r="J28" s="4" t="s">
        <v>17</v>
      </c>
      <c r="K28" s="5" t="s">
        <v>34</v>
      </c>
      <c r="L28" s="4" t="n">
        <f aca="false">IF(K28="","",COUNTIF($K$3:K28,K28))</f>
        <v>8</v>
      </c>
    </row>
    <row r="29" customFormat="false" ht="15" hidden="false" customHeight="false" outlineLevel="0" collapsed="false">
      <c r="A29" s="4" t="s">
        <v>56</v>
      </c>
      <c r="B29" s="4" t="n">
        <v>491</v>
      </c>
      <c r="C29" s="4" t="s">
        <v>15</v>
      </c>
      <c r="D29" s="4" t="n">
        <v>563</v>
      </c>
      <c r="E29" s="4" t="s">
        <v>14</v>
      </c>
      <c r="F29" s="4" t="s">
        <v>16</v>
      </c>
      <c r="G29" s="4" t="s">
        <v>25</v>
      </c>
      <c r="H29" s="4" t="s">
        <v>17</v>
      </c>
      <c r="I29" s="4" t="s">
        <v>18</v>
      </c>
      <c r="J29" s="4" t="s">
        <v>25</v>
      </c>
      <c r="K29" s="5" t="s">
        <v>19</v>
      </c>
      <c r="L29" s="4" t="n">
        <f aca="false">IF(K29="","",COUNTIF($K$3:K29,K29))</f>
        <v>6</v>
      </c>
    </row>
    <row r="30" customFormat="false" ht="15" hidden="false" customHeight="false" outlineLevel="0" collapsed="false">
      <c r="A30" s="4" t="s">
        <v>57</v>
      </c>
      <c r="B30" s="4" t="n">
        <v>465</v>
      </c>
      <c r="C30" s="4" t="s">
        <v>15</v>
      </c>
      <c r="D30" s="4" t="n">
        <v>451</v>
      </c>
      <c r="E30" s="4" t="s">
        <v>28</v>
      </c>
      <c r="F30" s="4" t="s">
        <v>16</v>
      </c>
      <c r="G30" s="4" t="s">
        <v>17</v>
      </c>
      <c r="H30" s="4" t="s">
        <v>17</v>
      </c>
      <c r="I30" s="4" t="s">
        <v>29</v>
      </c>
      <c r="J30" s="4" t="s">
        <v>25</v>
      </c>
      <c r="K30" s="5" t="s">
        <v>19</v>
      </c>
      <c r="L30" s="4" t="n">
        <f aca="false">IF(K30="","",COUNTIF($K$3:K30,K30))</f>
        <v>7</v>
      </c>
    </row>
    <row r="31" customFormat="false" ht="15" hidden="false" customHeight="false" outlineLevel="0" collapsed="false">
      <c r="A31" s="4" t="s">
        <v>58</v>
      </c>
      <c r="B31" s="4" t="n">
        <v>520</v>
      </c>
      <c r="C31" s="4" t="s">
        <v>24</v>
      </c>
      <c r="D31" s="4" t="n">
        <v>477</v>
      </c>
      <c r="E31" s="4" t="s">
        <v>15</v>
      </c>
      <c r="F31" s="4" t="s">
        <v>22</v>
      </c>
      <c r="G31" s="4" t="s">
        <v>17</v>
      </c>
      <c r="H31" s="4" t="s">
        <v>25</v>
      </c>
      <c r="I31" s="4" t="s">
        <v>29</v>
      </c>
      <c r="J31" s="4" t="s">
        <v>17</v>
      </c>
      <c r="K31" s="5" t="s">
        <v>19</v>
      </c>
      <c r="L31" s="4" t="n">
        <f aca="false">IF(K31="","",COUNTIF($K$3:K31,K31))</f>
        <v>8</v>
      </c>
    </row>
    <row r="32" customFormat="false" ht="15" hidden="false" customHeight="false" outlineLevel="0" collapsed="false">
      <c r="A32" s="4" t="s">
        <v>59</v>
      </c>
      <c r="B32" s="4" t="n">
        <v>456</v>
      </c>
      <c r="C32" s="4" t="s">
        <v>28</v>
      </c>
      <c r="D32" s="4" t="n">
        <v>525</v>
      </c>
      <c r="E32" s="4" t="s">
        <v>24</v>
      </c>
      <c r="F32" s="4" t="s">
        <v>16</v>
      </c>
      <c r="G32" s="4" t="s">
        <v>17</v>
      </c>
      <c r="H32" s="4" t="s">
        <v>17</v>
      </c>
      <c r="I32" s="4" t="s">
        <v>33</v>
      </c>
      <c r="J32" s="4" t="s">
        <v>17</v>
      </c>
      <c r="K32" s="5" t="s">
        <v>19</v>
      </c>
      <c r="L32" s="4" t="n">
        <f aca="false">IF(K32="","",COUNTIF($K$3:K32,K32))</f>
        <v>9</v>
      </c>
    </row>
    <row r="33" customFormat="false" ht="15" hidden="false" customHeight="false" outlineLevel="0" collapsed="false">
      <c r="A33" s="4" t="s">
        <v>60</v>
      </c>
      <c r="B33" s="4" t="n">
        <v>457</v>
      </c>
      <c r="C33" s="4" t="s">
        <v>28</v>
      </c>
      <c r="D33" s="4" t="n">
        <v>551</v>
      </c>
      <c r="E33" s="4" t="s">
        <v>14</v>
      </c>
      <c r="F33" s="4" t="s">
        <v>16</v>
      </c>
      <c r="G33" s="4" t="s">
        <v>17</v>
      </c>
      <c r="H33" s="4" t="s">
        <v>17</v>
      </c>
      <c r="I33" s="4" t="s">
        <v>38</v>
      </c>
      <c r="J33" s="4" t="s">
        <v>17</v>
      </c>
      <c r="K33" s="5" t="s">
        <v>26</v>
      </c>
      <c r="L33" s="4" t="n">
        <f aca="false">IF(K33="","",COUNTIF($K$3:K33,K33))</f>
        <v>8</v>
      </c>
    </row>
    <row r="34" customFormat="false" ht="15" hidden="false" customHeight="false" outlineLevel="0" collapsed="false">
      <c r="A34" s="4" t="s">
        <v>61</v>
      </c>
      <c r="B34" s="4" t="n">
        <v>438</v>
      </c>
      <c r="C34" s="4" t="s">
        <v>28</v>
      </c>
      <c r="D34" s="4" t="n">
        <v>494</v>
      </c>
      <c r="E34" s="4" t="s">
        <v>15</v>
      </c>
      <c r="F34" s="4" t="s">
        <v>16</v>
      </c>
      <c r="G34" s="4" t="s">
        <v>17</v>
      </c>
      <c r="H34" s="4" t="s">
        <v>17</v>
      </c>
      <c r="I34" s="4" t="s">
        <v>33</v>
      </c>
      <c r="J34" s="4" t="s">
        <v>17</v>
      </c>
      <c r="K34" s="5" t="s">
        <v>19</v>
      </c>
      <c r="L34" s="4" t="n">
        <f aca="false">IF(K34="","",COUNTIF($K$3:K34,K34))</f>
        <v>10</v>
      </c>
    </row>
    <row r="35" customFormat="false" ht="15" hidden="false" customHeight="false" outlineLevel="0" collapsed="false">
      <c r="A35" s="4" t="s">
        <v>62</v>
      </c>
      <c r="B35" s="4" t="n">
        <v>468</v>
      </c>
      <c r="C35" s="4" t="s">
        <v>28</v>
      </c>
      <c r="D35" s="4" t="n">
        <v>526</v>
      </c>
      <c r="E35" s="4" t="s">
        <v>24</v>
      </c>
      <c r="F35" s="4" t="s">
        <v>22</v>
      </c>
      <c r="G35" s="4" t="s">
        <v>25</v>
      </c>
      <c r="H35" s="4" t="s">
        <v>17</v>
      </c>
      <c r="I35" s="4" t="s">
        <v>33</v>
      </c>
      <c r="J35" s="4" t="s">
        <v>17</v>
      </c>
      <c r="K35" s="5" t="s">
        <v>26</v>
      </c>
      <c r="L35" s="4" t="n">
        <f aca="false">IF(K35="","",COUNTIF($K$3:K35,K35))</f>
        <v>9</v>
      </c>
    </row>
    <row r="36" customFormat="false" ht="15" hidden="false" customHeight="false" outlineLevel="0" collapsed="false">
      <c r="A36" s="4" t="s">
        <v>63</v>
      </c>
      <c r="B36" s="4" t="n">
        <v>402</v>
      </c>
      <c r="C36" s="4" t="s">
        <v>32</v>
      </c>
      <c r="D36" s="4" t="n">
        <v>471</v>
      </c>
      <c r="E36" s="4" t="s">
        <v>15</v>
      </c>
      <c r="F36" s="4" t="s">
        <v>22</v>
      </c>
      <c r="G36" s="4" t="s">
        <v>17</v>
      </c>
      <c r="H36" s="4" t="s">
        <v>17</v>
      </c>
      <c r="I36" s="4" t="s">
        <v>18</v>
      </c>
      <c r="J36" s="4" t="s">
        <v>25</v>
      </c>
      <c r="K36" s="5" t="s">
        <v>34</v>
      </c>
      <c r="L36" s="4" t="n">
        <f aca="false">IF(K36="","",COUNTIF($K$3:K36,K36))</f>
        <v>9</v>
      </c>
    </row>
    <row r="37" customFormat="false" ht="15" hidden="false" customHeight="false" outlineLevel="0" collapsed="false">
      <c r="A37" s="4" t="s">
        <v>64</v>
      </c>
      <c r="B37" s="4" t="n">
        <v>569</v>
      </c>
      <c r="C37" s="4" t="s">
        <v>14</v>
      </c>
      <c r="D37" s="4" t="n">
        <v>460</v>
      </c>
      <c r="E37" s="4" t="s">
        <v>28</v>
      </c>
      <c r="F37" s="4" t="s">
        <v>22</v>
      </c>
      <c r="G37" s="4" t="s">
        <v>17</v>
      </c>
      <c r="H37" s="4" t="s">
        <v>17</v>
      </c>
      <c r="I37" s="4" t="s">
        <v>18</v>
      </c>
      <c r="J37" s="4" t="s">
        <v>25</v>
      </c>
      <c r="K37" s="5" t="s">
        <v>26</v>
      </c>
      <c r="L37" s="4" t="n">
        <f aca="false">IF(K37="","",COUNTIF($K$3:K37,K37))</f>
        <v>10</v>
      </c>
    </row>
    <row r="38" customFormat="false" ht="15" hidden="false" customHeight="false" outlineLevel="0" collapsed="false">
      <c r="A38" s="4" t="s">
        <v>65</v>
      </c>
      <c r="B38" s="4" t="n">
        <v>519</v>
      </c>
      <c r="C38" s="4" t="s">
        <v>24</v>
      </c>
      <c r="D38" s="4" t="n">
        <v>520</v>
      </c>
      <c r="E38" s="4" t="s">
        <v>24</v>
      </c>
      <c r="F38" s="4" t="s">
        <v>16</v>
      </c>
      <c r="G38" s="4" t="s">
        <v>17</v>
      </c>
      <c r="H38" s="4" t="s">
        <v>17</v>
      </c>
      <c r="I38" s="4" t="s">
        <v>29</v>
      </c>
      <c r="J38" s="4" t="s">
        <v>17</v>
      </c>
      <c r="K38" s="5" t="s">
        <v>36</v>
      </c>
      <c r="L38" s="4" t="n">
        <f aca="false">IF(K38="","",COUNTIF($K$3:K38,K38))</f>
        <v>7</v>
      </c>
    </row>
    <row r="39" customFormat="false" ht="15" hidden="false" customHeight="false" outlineLevel="0" collapsed="false">
      <c r="A39" s="4" t="s">
        <v>66</v>
      </c>
      <c r="B39" s="4" t="n">
        <v>567</v>
      </c>
      <c r="C39" s="4" t="s">
        <v>14</v>
      </c>
      <c r="D39" s="4" t="n">
        <v>476</v>
      </c>
      <c r="E39" s="4" t="s">
        <v>15</v>
      </c>
      <c r="F39" s="4" t="s">
        <v>22</v>
      </c>
      <c r="G39" s="4" t="s">
        <v>17</v>
      </c>
      <c r="H39" s="4" t="s">
        <v>17</v>
      </c>
      <c r="I39" s="4" t="s">
        <v>18</v>
      </c>
      <c r="J39" s="4" t="s">
        <v>17</v>
      </c>
      <c r="K39" s="5" t="s">
        <v>19</v>
      </c>
      <c r="L39" s="4" t="n">
        <f aca="false">IF(K39="","",COUNTIF($K$3:K39,K39))</f>
        <v>11</v>
      </c>
    </row>
    <row r="40" customFormat="false" ht="15" hidden="false" customHeight="false" outlineLevel="0" collapsed="false">
      <c r="A40" s="4" t="s">
        <v>67</v>
      </c>
      <c r="B40" s="4" t="n">
        <v>538</v>
      </c>
      <c r="C40" s="4" t="s">
        <v>24</v>
      </c>
      <c r="D40" s="4" t="n">
        <v>411</v>
      </c>
      <c r="E40" s="4" t="s">
        <v>32</v>
      </c>
      <c r="F40" s="4" t="s">
        <v>16</v>
      </c>
      <c r="G40" s="4" t="s">
        <v>17</v>
      </c>
      <c r="H40" s="4" t="s">
        <v>17</v>
      </c>
      <c r="I40" s="4" t="s">
        <v>38</v>
      </c>
      <c r="J40" s="4" t="s">
        <v>25</v>
      </c>
      <c r="K40" s="5" t="s">
        <v>19</v>
      </c>
      <c r="L40" s="4" t="n">
        <f aca="false">IF(K40="","",COUNTIF($K$3:K40,K40))</f>
        <v>12</v>
      </c>
    </row>
    <row r="41" customFormat="false" ht="15" hidden="false" customHeight="false" outlineLevel="0" collapsed="false">
      <c r="A41" s="4" t="s">
        <v>68</v>
      </c>
      <c r="B41" s="4" t="n">
        <v>404</v>
      </c>
      <c r="C41" s="4" t="s">
        <v>32</v>
      </c>
      <c r="D41" s="4" t="n">
        <v>511</v>
      </c>
      <c r="E41" s="4" t="s">
        <v>24</v>
      </c>
      <c r="F41" s="4" t="s">
        <v>16</v>
      </c>
      <c r="G41" s="4" t="s">
        <v>17</v>
      </c>
      <c r="H41" s="4" t="s">
        <v>17</v>
      </c>
      <c r="I41" s="4" t="s">
        <v>29</v>
      </c>
      <c r="J41" s="4" t="s">
        <v>17</v>
      </c>
      <c r="K41" s="5" t="s">
        <v>19</v>
      </c>
      <c r="L41" s="4" t="n">
        <f aca="false">IF(K41="","",COUNTIF($K$3:K41,K41))</f>
        <v>13</v>
      </c>
    </row>
    <row r="42" customFormat="false" ht="15" hidden="false" customHeight="false" outlineLevel="0" collapsed="false">
      <c r="A42" s="4" t="s">
        <v>69</v>
      </c>
      <c r="B42" s="4" t="n">
        <v>512</v>
      </c>
      <c r="C42" s="4" t="s">
        <v>24</v>
      </c>
      <c r="D42" s="4" t="n">
        <v>451</v>
      </c>
      <c r="E42" s="4" t="s">
        <v>28</v>
      </c>
      <c r="F42" s="4" t="s">
        <v>16</v>
      </c>
      <c r="G42" s="4" t="s">
        <v>17</v>
      </c>
      <c r="H42" s="4" t="s">
        <v>17</v>
      </c>
      <c r="I42" s="4" t="s">
        <v>18</v>
      </c>
      <c r="J42" s="4" t="s">
        <v>25</v>
      </c>
      <c r="K42" s="5" t="s">
        <v>36</v>
      </c>
      <c r="L42" s="4" t="n">
        <f aca="false">IF(K42="","",COUNTIF($K$3:K42,K42))</f>
        <v>8</v>
      </c>
    </row>
    <row r="43" customFormat="false" ht="15" hidden="false" customHeight="false" outlineLevel="0" collapsed="false">
      <c r="A43" s="4" t="s">
        <v>70</v>
      </c>
      <c r="B43" s="4" t="n">
        <v>440</v>
      </c>
      <c r="C43" s="4" t="s">
        <v>28</v>
      </c>
      <c r="D43" s="4" t="n">
        <v>541</v>
      </c>
      <c r="E43" s="4" t="s">
        <v>14</v>
      </c>
      <c r="F43" s="4" t="s">
        <v>22</v>
      </c>
      <c r="G43" s="4" t="s">
        <v>17</v>
      </c>
      <c r="H43" s="4" t="s">
        <v>17</v>
      </c>
      <c r="I43" s="4" t="s">
        <v>29</v>
      </c>
      <c r="J43" s="4" t="s">
        <v>17</v>
      </c>
      <c r="K43" s="5" t="s">
        <v>34</v>
      </c>
      <c r="L43" s="4" t="n">
        <f aca="false">IF(K43="","",COUNTIF($K$3:K43,K43))</f>
        <v>10</v>
      </c>
    </row>
    <row r="44" customFormat="false" ht="15" hidden="false" customHeight="false" outlineLevel="0" collapsed="false">
      <c r="A44" s="4" t="s">
        <v>71</v>
      </c>
      <c r="B44" s="4" t="n">
        <v>575</v>
      </c>
      <c r="C44" s="4" t="s">
        <v>14</v>
      </c>
      <c r="D44" s="4" t="n">
        <v>475</v>
      </c>
      <c r="E44" s="4" t="s">
        <v>15</v>
      </c>
      <c r="F44" s="4" t="s">
        <v>16</v>
      </c>
      <c r="G44" s="4" t="s">
        <v>25</v>
      </c>
      <c r="H44" s="4" t="s">
        <v>17</v>
      </c>
      <c r="I44" s="4" t="s">
        <v>29</v>
      </c>
      <c r="J44" s="4" t="s">
        <v>17</v>
      </c>
      <c r="K44" s="5" t="s">
        <v>34</v>
      </c>
      <c r="L44" s="4" t="n">
        <f aca="false">IF(K44="","",COUNTIF($K$3:K44,K44))</f>
        <v>11</v>
      </c>
    </row>
    <row r="45" customFormat="false" ht="15" hidden="false" customHeight="false" outlineLevel="0" collapsed="false">
      <c r="A45" s="4" t="s">
        <v>72</v>
      </c>
      <c r="B45" s="4" t="n">
        <v>539</v>
      </c>
      <c r="C45" s="4" t="s">
        <v>14</v>
      </c>
      <c r="D45" s="4" t="n">
        <v>526</v>
      </c>
      <c r="E45" s="4" t="s">
        <v>24</v>
      </c>
      <c r="F45" s="4" t="s">
        <v>22</v>
      </c>
      <c r="G45" s="4" t="s">
        <v>17</v>
      </c>
      <c r="H45" s="4" t="s">
        <v>17</v>
      </c>
      <c r="I45" s="4" t="s">
        <v>18</v>
      </c>
      <c r="J45" s="4" t="s">
        <v>25</v>
      </c>
      <c r="K45" s="5" t="s">
        <v>36</v>
      </c>
      <c r="L45" s="4" t="n">
        <f aca="false">IF(K45="","",COUNTIF($K$3:K45,K45))</f>
        <v>9</v>
      </c>
    </row>
    <row r="46" customFormat="false" ht="15" hidden="false" customHeight="false" outlineLevel="0" collapsed="false">
      <c r="A46" s="4" t="s">
        <v>73</v>
      </c>
      <c r="B46" s="4" t="n">
        <v>545</v>
      </c>
      <c r="C46" s="4" t="s">
        <v>14</v>
      </c>
      <c r="D46" s="4" t="n">
        <v>510</v>
      </c>
      <c r="E46" s="4" t="s">
        <v>24</v>
      </c>
      <c r="F46" s="4" t="s">
        <v>16</v>
      </c>
      <c r="G46" s="4" t="s">
        <v>17</v>
      </c>
      <c r="H46" s="4" t="s">
        <v>17</v>
      </c>
      <c r="I46" s="4" t="s">
        <v>18</v>
      </c>
      <c r="J46" s="4" t="s">
        <v>25</v>
      </c>
      <c r="K46" s="5" t="s">
        <v>26</v>
      </c>
      <c r="L46" s="4" t="n">
        <f aca="false">IF(K46="","",COUNTIF($K$3:K46,K46))</f>
        <v>11</v>
      </c>
    </row>
    <row r="47" customFormat="false" ht="15" hidden="false" customHeight="false" outlineLevel="0" collapsed="false">
      <c r="A47" s="4" t="s">
        <v>74</v>
      </c>
      <c r="B47" s="4" t="n">
        <v>471</v>
      </c>
      <c r="C47" s="4" t="s">
        <v>15</v>
      </c>
      <c r="D47" s="4" t="n">
        <v>515</v>
      </c>
      <c r="E47" s="4" t="s">
        <v>24</v>
      </c>
      <c r="F47" s="4" t="s">
        <v>22</v>
      </c>
      <c r="G47" s="4" t="s">
        <v>17</v>
      </c>
      <c r="H47" s="4" t="s">
        <v>17</v>
      </c>
      <c r="I47" s="4" t="s">
        <v>18</v>
      </c>
      <c r="J47" s="4" t="s">
        <v>17</v>
      </c>
      <c r="K47" s="5" t="s">
        <v>19</v>
      </c>
      <c r="L47" s="4" t="n">
        <f aca="false">IF(K47="","",COUNTIF($K$3:K47,K47))</f>
        <v>14</v>
      </c>
    </row>
    <row r="48" customFormat="false" ht="15" hidden="false" customHeight="false" outlineLevel="0" collapsed="false">
      <c r="A48" s="4" t="s">
        <v>75</v>
      </c>
      <c r="B48" s="4" t="n">
        <v>440</v>
      </c>
      <c r="C48" s="4" t="s">
        <v>28</v>
      </c>
      <c r="D48" s="4" t="n">
        <v>395</v>
      </c>
      <c r="E48" s="4" t="s">
        <v>32</v>
      </c>
      <c r="F48" s="4" t="s">
        <v>16</v>
      </c>
      <c r="G48" s="4" t="s">
        <v>17</v>
      </c>
      <c r="H48" s="4" t="s">
        <v>17</v>
      </c>
      <c r="I48" s="4" t="s">
        <v>18</v>
      </c>
      <c r="J48" s="4" t="s">
        <v>17</v>
      </c>
      <c r="K48" s="5" t="s">
        <v>36</v>
      </c>
      <c r="L48" s="4" t="n">
        <f aca="false">IF(K48="","",COUNTIF($K$3:K48,K48))</f>
        <v>10</v>
      </c>
    </row>
    <row r="49" customFormat="false" ht="15" hidden="false" customHeight="false" outlineLevel="0" collapsed="false">
      <c r="A49" s="4" t="s">
        <v>76</v>
      </c>
      <c r="B49" s="4" t="n">
        <v>471</v>
      </c>
      <c r="C49" s="4" t="s">
        <v>15</v>
      </c>
      <c r="D49" s="4" t="n">
        <v>447</v>
      </c>
      <c r="E49" s="4" t="s">
        <v>28</v>
      </c>
      <c r="F49" s="4" t="s">
        <v>16</v>
      </c>
      <c r="G49" s="4" t="s">
        <v>17</v>
      </c>
      <c r="H49" s="4" t="s">
        <v>17</v>
      </c>
      <c r="I49" s="4" t="s">
        <v>18</v>
      </c>
      <c r="J49" s="4" t="s">
        <v>17</v>
      </c>
      <c r="K49" s="5" t="s">
        <v>34</v>
      </c>
      <c r="L49" s="4" t="n">
        <f aca="false">IF(K49="","",COUNTIF($K$3:K49,K49))</f>
        <v>12</v>
      </c>
    </row>
    <row r="50" customFormat="false" ht="15" hidden="false" customHeight="false" outlineLevel="0" collapsed="false">
      <c r="A50" s="4" t="s">
        <v>77</v>
      </c>
      <c r="B50" s="4" t="n">
        <v>514</v>
      </c>
      <c r="C50" s="4" t="s">
        <v>24</v>
      </c>
      <c r="D50" s="4" t="n">
        <v>557</v>
      </c>
      <c r="E50" s="4" t="s">
        <v>14</v>
      </c>
      <c r="F50" s="4" t="s">
        <v>22</v>
      </c>
      <c r="G50" s="4" t="s">
        <v>17</v>
      </c>
      <c r="H50" s="4" t="s">
        <v>17</v>
      </c>
      <c r="I50" s="4" t="s">
        <v>38</v>
      </c>
      <c r="J50" s="4" t="s">
        <v>17</v>
      </c>
      <c r="K50" s="5" t="s">
        <v>19</v>
      </c>
      <c r="L50" s="4" t="n">
        <f aca="false">IF(K50="","",COUNTIF($K$3:K50,K50))</f>
        <v>15</v>
      </c>
    </row>
    <row r="51" customFormat="false" ht="15" hidden="false" customHeight="false" outlineLevel="0" collapsed="false">
      <c r="A51" s="4" t="s">
        <v>78</v>
      </c>
      <c r="B51" s="4" t="n">
        <v>536</v>
      </c>
      <c r="C51" s="4" t="s">
        <v>24</v>
      </c>
      <c r="D51" s="4" t="n">
        <v>502</v>
      </c>
      <c r="E51" s="4" t="s">
        <v>24</v>
      </c>
      <c r="F51" s="4" t="s">
        <v>16</v>
      </c>
      <c r="G51" s="4" t="s">
        <v>17</v>
      </c>
      <c r="H51" s="4" t="s">
        <v>17</v>
      </c>
      <c r="I51" s="4" t="s">
        <v>29</v>
      </c>
      <c r="J51" s="4" t="s">
        <v>17</v>
      </c>
      <c r="K51" s="5" t="s">
        <v>26</v>
      </c>
      <c r="L51" s="4" t="n">
        <f aca="false">IF(K51="","",COUNTIF($K$3:K51,K51))</f>
        <v>12</v>
      </c>
    </row>
    <row r="52" customFormat="false" ht="15" hidden="false" customHeight="false" outlineLevel="0" collapsed="false">
      <c r="A52" s="4" t="s">
        <v>79</v>
      </c>
      <c r="B52" s="4" t="n">
        <v>505</v>
      </c>
      <c r="C52" s="4" t="s">
        <v>24</v>
      </c>
      <c r="D52" s="4" t="n">
        <v>537</v>
      </c>
      <c r="E52" s="4" t="s">
        <v>24</v>
      </c>
      <c r="F52" s="4" t="s">
        <v>22</v>
      </c>
      <c r="G52" s="4" t="s">
        <v>17</v>
      </c>
      <c r="H52" s="4" t="s">
        <v>17</v>
      </c>
      <c r="I52" s="4" t="s">
        <v>38</v>
      </c>
      <c r="J52" s="4" t="s">
        <v>25</v>
      </c>
      <c r="K52" s="5" t="s">
        <v>26</v>
      </c>
      <c r="L52" s="4" t="n">
        <f aca="false">IF(K52="","",COUNTIF($K$3:K52,K52))</f>
        <v>13</v>
      </c>
    </row>
    <row r="53" customFormat="false" ht="15" hidden="false" customHeight="false" outlineLevel="0" collapsed="false">
      <c r="A53" s="4" t="s">
        <v>80</v>
      </c>
      <c r="B53" s="4" t="n">
        <v>503</v>
      </c>
      <c r="C53" s="4" t="s">
        <v>24</v>
      </c>
      <c r="D53" s="4" t="n">
        <v>413</v>
      </c>
      <c r="E53" s="4" t="s">
        <v>32</v>
      </c>
      <c r="F53" s="4" t="s">
        <v>22</v>
      </c>
      <c r="G53" s="4" t="s">
        <v>17</v>
      </c>
      <c r="H53" s="4" t="s">
        <v>17</v>
      </c>
      <c r="I53" s="4" t="s">
        <v>18</v>
      </c>
      <c r="J53" s="4" t="s">
        <v>17</v>
      </c>
      <c r="K53" s="5" t="s">
        <v>26</v>
      </c>
      <c r="L53" s="4" t="n">
        <f aca="false">IF(K53="","",COUNTIF($K$3:K53,K53))</f>
        <v>14</v>
      </c>
    </row>
    <row r="54" customFormat="false" ht="15" hidden="false" customHeight="false" outlineLevel="0" collapsed="false">
      <c r="A54" s="4" t="s">
        <v>81</v>
      </c>
      <c r="B54" s="4" t="n">
        <v>531</v>
      </c>
      <c r="C54" s="4" t="s">
        <v>24</v>
      </c>
      <c r="D54" s="4" t="n">
        <v>403</v>
      </c>
      <c r="E54" s="4" t="s">
        <v>32</v>
      </c>
      <c r="F54" s="4" t="s">
        <v>22</v>
      </c>
      <c r="G54" s="4" t="s">
        <v>17</v>
      </c>
      <c r="H54" s="4" t="s">
        <v>17</v>
      </c>
      <c r="I54" s="4" t="s">
        <v>18</v>
      </c>
      <c r="J54" s="4" t="s">
        <v>17</v>
      </c>
      <c r="K54" s="5" t="s">
        <v>34</v>
      </c>
      <c r="L54" s="4" t="n">
        <f aca="false">IF(K54="","",COUNTIF($K$3:K54,K54))</f>
        <v>13</v>
      </c>
    </row>
    <row r="55" customFormat="false" ht="15" hidden="false" customHeight="false" outlineLevel="0" collapsed="false">
      <c r="A55" s="4" t="s">
        <v>82</v>
      </c>
      <c r="B55" s="4" t="n">
        <v>431</v>
      </c>
      <c r="C55" s="4" t="s">
        <v>28</v>
      </c>
      <c r="D55" s="4" t="n">
        <v>455</v>
      </c>
      <c r="E55" s="4" t="s">
        <v>28</v>
      </c>
      <c r="F55" s="4" t="s">
        <v>16</v>
      </c>
      <c r="G55" s="4" t="s">
        <v>17</v>
      </c>
      <c r="H55" s="4" t="s">
        <v>17</v>
      </c>
      <c r="I55" s="4" t="s">
        <v>18</v>
      </c>
      <c r="J55" s="4" t="s">
        <v>17</v>
      </c>
      <c r="K55" s="5" t="s">
        <v>26</v>
      </c>
      <c r="L55" s="4" t="n">
        <f aca="false">IF(K55="","",COUNTIF($K$3:K55,K55))</f>
        <v>15</v>
      </c>
    </row>
    <row r="56" customFormat="false" ht="15" hidden="false" customHeight="false" outlineLevel="0" collapsed="false">
      <c r="A56" s="4" t="s">
        <v>83</v>
      </c>
      <c r="B56" s="4" t="n">
        <v>524</v>
      </c>
      <c r="C56" s="4" t="s">
        <v>24</v>
      </c>
      <c r="D56" s="4" t="n">
        <v>475</v>
      </c>
      <c r="E56" s="4" t="s">
        <v>15</v>
      </c>
      <c r="F56" s="4" t="s">
        <v>16</v>
      </c>
      <c r="G56" s="4" t="s">
        <v>17</v>
      </c>
      <c r="H56" s="4" t="s">
        <v>17</v>
      </c>
      <c r="I56" s="4" t="s">
        <v>38</v>
      </c>
      <c r="J56" s="4" t="s">
        <v>17</v>
      </c>
      <c r="K56" s="5" t="s">
        <v>36</v>
      </c>
      <c r="L56" s="4" t="n">
        <f aca="false">IF(K56="","",COUNTIF($K$3:K56,K56))</f>
        <v>11</v>
      </c>
    </row>
    <row r="57" customFormat="false" ht="15" hidden="false" customHeight="false" outlineLevel="0" collapsed="false">
      <c r="A57" s="4" t="s">
        <v>84</v>
      </c>
      <c r="B57" s="4" t="n">
        <v>437</v>
      </c>
      <c r="C57" s="4" t="s">
        <v>28</v>
      </c>
      <c r="D57" s="4" t="n">
        <v>571</v>
      </c>
      <c r="E57" s="4" t="s">
        <v>14</v>
      </c>
      <c r="F57" s="4" t="s">
        <v>16</v>
      </c>
      <c r="G57" s="4" t="s">
        <v>25</v>
      </c>
      <c r="H57" s="4" t="s">
        <v>17</v>
      </c>
      <c r="I57" s="4" t="s">
        <v>18</v>
      </c>
      <c r="J57" s="4" t="s">
        <v>17</v>
      </c>
      <c r="K57" s="5" t="s">
        <v>34</v>
      </c>
      <c r="L57" s="4" t="n">
        <f aca="false">IF(K57="","",COUNTIF($K$3:K57,K57))</f>
        <v>14</v>
      </c>
    </row>
    <row r="58" customFormat="false" ht="15" hidden="false" customHeight="false" outlineLevel="0" collapsed="false">
      <c r="A58" s="4" t="s">
        <v>85</v>
      </c>
      <c r="B58" s="4" t="n">
        <v>541</v>
      </c>
      <c r="C58" s="4" t="s">
        <v>14</v>
      </c>
      <c r="D58" s="4" t="n">
        <v>501</v>
      </c>
      <c r="E58" s="4" t="s">
        <v>15</v>
      </c>
      <c r="F58" s="4" t="s">
        <v>22</v>
      </c>
      <c r="G58" s="4" t="s">
        <v>17</v>
      </c>
      <c r="H58" s="4" t="s">
        <v>25</v>
      </c>
      <c r="I58" s="4" t="s">
        <v>18</v>
      </c>
      <c r="J58" s="4" t="s">
        <v>25</v>
      </c>
      <c r="K58" s="5" t="s">
        <v>36</v>
      </c>
      <c r="L58" s="4" t="n">
        <f aca="false">IF(K58="","",COUNTIF($K$3:K58,K58))</f>
        <v>12</v>
      </c>
    </row>
    <row r="59" customFormat="false" ht="15" hidden="false" customHeight="false" outlineLevel="0" collapsed="false">
      <c r="A59" s="4" t="s">
        <v>86</v>
      </c>
      <c r="B59" s="4" t="n">
        <v>563</v>
      </c>
      <c r="C59" s="4" t="s">
        <v>14</v>
      </c>
      <c r="D59" s="4" t="n">
        <v>505</v>
      </c>
      <c r="E59" s="4" t="s">
        <v>24</v>
      </c>
      <c r="F59" s="4" t="s">
        <v>16</v>
      </c>
      <c r="G59" s="4" t="s">
        <v>25</v>
      </c>
      <c r="H59" s="4" t="s">
        <v>17</v>
      </c>
      <c r="I59" s="4" t="s">
        <v>18</v>
      </c>
      <c r="J59" s="4" t="s">
        <v>17</v>
      </c>
      <c r="K59" s="5" t="s">
        <v>26</v>
      </c>
      <c r="L59" s="4" t="n">
        <f aca="false">IF(K59="","",COUNTIF($K$3:K59,K59))</f>
        <v>16</v>
      </c>
    </row>
    <row r="60" customFormat="false" ht="15" hidden="false" customHeight="false" outlineLevel="0" collapsed="false">
      <c r="A60" s="4" t="s">
        <v>87</v>
      </c>
      <c r="B60" s="4" t="n">
        <v>542</v>
      </c>
      <c r="C60" s="4" t="s">
        <v>14</v>
      </c>
      <c r="D60" s="4" t="n">
        <v>453</v>
      </c>
      <c r="E60" s="4" t="s">
        <v>28</v>
      </c>
      <c r="F60" s="4" t="s">
        <v>16</v>
      </c>
      <c r="G60" s="4" t="s">
        <v>17</v>
      </c>
      <c r="H60" s="4" t="s">
        <v>17</v>
      </c>
      <c r="I60" s="4" t="s">
        <v>29</v>
      </c>
      <c r="J60" s="4" t="s">
        <v>17</v>
      </c>
      <c r="K60" s="5" t="s">
        <v>19</v>
      </c>
      <c r="L60" s="4" t="n">
        <f aca="false">IF(K60="","",COUNTIF($K$3:K60,K60))</f>
        <v>16</v>
      </c>
    </row>
    <row r="61" customFormat="false" ht="15" hidden="false" customHeight="false" outlineLevel="0" collapsed="false">
      <c r="A61" s="4" t="s">
        <v>88</v>
      </c>
      <c r="B61" s="4" t="n">
        <v>426</v>
      </c>
      <c r="C61" s="4" t="s">
        <v>32</v>
      </c>
      <c r="D61" s="4" t="n">
        <v>565</v>
      </c>
      <c r="E61" s="4" t="s">
        <v>14</v>
      </c>
      <c r="F61" s="4" t="s">
        <v>16</v>
      </c>
      <c r="G61" s="4" t="s">
        <v>17</v>
      </c>
      <c r="H61" s="4" t="s">
        <v>17</v>
      </c>
      <c r="I61" s="4" t="s">
        <v>18</v>
      </c>
      <c r="J61" s="4" t="s">
        <v>25</v>
      </c>
      <c r="K61" s="5" t="s">
        <v>34</v>
      </c>
      <c r="L61" s="4" t="n">
        <f aca="false">IF(K61="","",COUNTIF($K$3:K61,K61))</f>
        <v>15</v>
      </c>
    </row>
    <row r="62" customFormat="false" ht="15" hidden="false" customHeight="false" outlineLevel="0" collapsed="false">
      <c r="A62" s="4" t="s">
        <v>89</v>
      </c>
      <c r="B62" s="4" t="n">
        <v>522</v>
      </c>
      <c r="C62" s="4" t="s">
        <v>24</v>
      </c>
      <c r="D62" s="4" t="n">
        <v>433</v>
      </c>
      <c r="E62" s="4" t="s">
        <v>32</v>
      </c>
      <c r="F62" s="4" t="s">
        <v>16</v>
      </c>
      <c r="G62" s="4" t="s">
        <v>17</v>
      </c>
      <c r="H62" s="4" t="s">
        <v>17</v>
      </c>
      <c r="I62" s="4" t="s">
        <v>18</v>
      </c>
      <c r="J62" s="4" t="s">
        <v>25</v>
      </c>
      <c r="K62" s="5" t="s">
        <v>19</v>
      </c>
      <c r="L62" s="4" t="n">
        <f aca="false">IF(K62="","",COUNTIF($K$3:K62,K62))</f>
        <v>17</v>
      </c>
    </row>
    <row r="63" customFormat="false" ht="15" hidden="false" customHeight="false" outlineLevel="0" collapsed="false">
      <c r="A63" s="4" t="s">
        <v>90</v>
      </c>
      <c r="B63" s="4" t="n">
        <v>507</v>
      </c>
      <c r="C63" s="4" t="s">
        <v>24</v>
      </c>
      <c r="D63" s="4" t="n">
        <v>490</v>
      </c>
      <c r="E63" s="4" t="s">
        <v>15</v>
      </c>
      <c r="F63" s="4" t="s">
        <v>22</v>
      </c>
      <c r="G63" s="4" t="s">
        <v>25</v>
      </c>
      <c r="H63" s="4" t="s">
        <v>17</v>
      </c>
      <c r="I63" s="4" t="s">
        <v>18</v>
      </c>
      <c r="J63" s="4" t="s">
        <v>17</v>
      </c>
      <c r="K63" s="5" t="s">
        <v>19</v>
      </c>
      <c r="L63" s="4" t="n">
        <f aca="false">IF(K63="","",COUNTIF($K$3:K63,K63))</f>
        <v>18</v>
      </c>
    </row>
    <row r="64" customFormat="false" ht="15" hidden="false" customHeight="false" outlineLevel="0" collapsed="false">
      <c r="A64" s="4" t="s">
        <v>91</v>
      </c>
      <c r="B64" s="4" t="n">
        <v>503</v>
      </c>
      <c r="C64" s="4" t="s">
        <v>15</v>
      </c>
      <c r="D64" s="4" t="n">
        <v>462</v>
      </c>
      <c r="E64" s="4" t="s">
        <v>28</v>
      </c>
      <c r="F64" s="4" t="s">
        <v>22</v>
      </c>
      <c r="G64" s="4" t="s">
        <v>25</v>
      </c>
      <c r="H64" s="4" t="s">
        <v>17</v>
      </c>
      <c r="I64" s="4" t="s">
        <v>18</v>
      </c>
      <c r="J64" s="4" t="s">
        <v>25</v>
      </c>
      <c r="K64" s="5" t="s">
        <v>19</v>
      </c>
      <c r="L64" s="4" t="n">
        <f aca="false">IF(K64="","",COUNTIF($K$3:K64,K64))</f>
        <v>19</v>
      </c>
    </row>
    <row r="65" customFormat="false" ht="15" hidden="false" customHeight="false" outlineLevel="0" collapsed="false">
      <c r="A65" s="4" t="s">
        <v>92</v>
      </c>
      <c r="B65" s="4" t="n">
        <v>550</v>
      </c>
      <c r="C65" s="4" t="s">
        <v>14</v>
      </c>
      <c r="D65" s="4" t="n">
        <v>543</v>
      </c>
      <c r="E65" s="4" t="s">
        <v>14</v>
      </c>
      <c r="F65" s="4" t="s">
        <v>16</v>
      </c>
      <c r="G65" s="4" t="s">
        <v>17</v>
      </c>
      <c r="H65" s="4" t="s">
        <v>17</v>
      </c>
      <c r="I65" s="4" t="s">
        <v>29</v>
      </c>
      <c r="J65" s="4" t="s">
        <v>17</v>
      </c>
      <c r="K65" s="5" t="s">
        <v>36</v>
      </c>
      <c r="L65" s="4" t="n">
        <f aca="false">IF(K65="","",COUNTIF($K$3:K65,K65))</f>
        <v>13</v>
      </c>
    </row>
    <row r="66" customFormat="false" ht="15" hidden="false" customHeight="false" outlineLevel="0" collapsed="false">
      <c r="A66" s="4" t="s">
        <v>93</v>
      </c>
      <c r="B66" s="4" t="n">
        <v>516</v>
      </c>
      <c r="C66" s="4" t="s">
        <v>24</v>
      </c>
      <c r="D66" s="4" t="n">
        <v>490</v>
      </c>
      <c r="E66" s="4" t="s">
        <v>15</v>
      </c>
      <c r="F66" s="4" t="s">
        <v>22</v>
      </c>
      <c r="G66" s="4" t="s">
        <v>17</v>
      </c>
      <c r="H66" s="4" t="s">
        <v>17</v>
      </c>
      <c r="I66" s="4" t="s">
        <v>38</v>
      </c>
      <c r="J66" s="4" t="s">
        <v>25</v>
      </c>
      <c r="K66" s="5" t="s">
        <v>26</v>
      </c>
      <c r="L66" s="4" t="n">
        <f aca="false">IF(K66="","",COUNTIF($K$3:K66,K66))</f>
        <v>17</v>
      </c>
    </row>
    <row r="67" customFormat="false" ht="15" hidden="false" customHeight="false" outlineLevel="0" collapsed="false">
      <c r="A67" s="4" t="s">
        <v>94</v>
      </c>
      <c r="B67" s="4" t="n">
        <v>505</v>
      </c>
      <c r="C67" s="4" t="s">
        <v>24</v>
      </c>
      <c r="D67" s="4" t="n">
        <v>492</v>
      </c>
      <c r="E67" s="4" t="s">
        <v>15</v>
      </c>
      <c r="F67" s="4" t="s">
        <v>22</v>
      </c>
      <c r="G67" s="4" t="s">
        <v>17</v>
      </c>
      <c r="H67" s="4" t="s">
        <v>17</v>
      </c>
      <c r="I67" s="4" t="s">
        <v>38</v>
      </c>
      <c r="J67" s="4" t="s">
        <v>17</v>
      </c>
      <c r="K67" s="5" t="s">
        <v>19</v>
      </c>
      <c r="L67" s="4" t="n">
        <f aca="false">IF(K67="","",COUNTIF($K$3:K67,K67))</f>
        <v>20</v>
      </c>
    </row>
    <row r="68" customFormat="false" ht="15" hidden="false" customHeight="false" outlineLevel="0" collapsed="false">
      <c r="A68" s="4" t="s">
        <v>95</v>
      </c>
      <c r="B68" s="4" t="n">
        <v>480</v>
      </c>
      <c r="C68" s="4" t="s">
        <v>15</v>
      </c>
      <c r="D68" s="4" t="n">
        <v>504</v>
      </c>
      <c r="E68" s="4" t="s">
        <v>24</v>
      </c>
      <c r="F68" s="4" t="s">
        <v>16</v>
      </c>
      <c r="G68" s="4" t="s">
        <v>17</v>
      </c>
      <c r="H68" s="4" t="s">
        <v>17</v>
      </c>
      <c r="I68" s="4" t="s">
        <v>38</v>
      </c>
      <c r="J68" s="4" t="s">
        <v>17</v>
      </c>
      <c r="K68" s="5" t="s">
        <v>34</v>
      </c>
      <c r="L68" s="4" t="n">
        <f aca="false">IF(K68="","",COUNTIF($K$3:K68,K68))</f>
        <v>16</v>
      </c>
    </row>
    <row r="69" customFormat="false" ht="15" hidden="false" customHeight="false" outlineLevel="0" collapsed="false">
      <c r="A69" s="4" t="s">
        <v>96</v>
      </c>
      <c r="B69" s="4" t="n">
        <v>481</v>
      </c>
      <c r="C69" s="4" t="s">
        <v>15</v>
      </c>
      <c r="D69" s="4" t="n">
        <v>567</v>
      </c>
      <c r="E69" s="4" t="s">
        <v>14</v>
      </c>
      <c r="F69" s="4" t="s">
        <v>22</v>
      </c>
      <c r="G69" s="4" t="s">
        <v>17</v>
      </c>
      <c r="H69" s="4" t="s">
        <v>25</v>
      </c>
      <c r="I69" s="4" t="s">
        <v>38</v>
      </c>
      <c r="J69" s="4" t="s">
        <v>17</v>
      </c>
      <c r="K69" s="5" t="s">
        <v>19</v>
      </c>
      <c r="L69" s="4" t="n">
        <f aca="false">IF(K69="","",COUNTIF($K$3:K69,K69))</f>
        <v>21</v>
      </c>
    </row>
    <row r="70" customFormat="false" ht="15" hidden="false" customHeight="false" outlineLevel="0" collapsed="false">
      <c r="A70" s="4" t="s">
        <v>97</v>
      </c>
      <c r="B70" s="4" t="n">
        <v>423</v>
      </c>
      <c r="C70" s="4" t="s">
        <v>32</v>
      </c>
      <c r="D70" s="4" t="n">
        <v>450</v>
      </c>
      <c r="E70" s="4" t="s">
        <v>28</v>
      </c>
      <c r="F70" s="4" t="s">
        <v>16</v>
      </c>
      <c r="G70" s="4" t="s">
        <v>17</v>
      </c>
      <c r="H70" s="4" t="s">
        <v>17</v>
      </c>
      <c r="I70" s="4" t="s">
        <v>33</v>
      </c>
      <c r="J70" s="4" t="s">
        <v>17</v>
      </c>
      <c r="K70" s="5" t="s">
        <v>34</v>
      </c>
      <c r="L70" s="4" t="n">
        <f aca="false">IF(K70="","",COUNTIF($K$3:K70,K70))</f>
        <v>17</v>
      </c>
    </row>
    <row r="71" customFormat="false" ht="15" hidden="false" customHeight="false" outlineLevel="0" collapsed="false">
      <c r="A71" s="4" t="s">
        <v>98</v>
      </c>
      <c r="B71" s="4" t="n">
        <v>500</v>
      </c>
      <c r="C71" s="4" t="s">
        <v>24</v>
      </c>
      <c r="D71" s="4" t="n">
        <v>490</v>
      </c>
      <c r="E71" s="4" t="s">
        <v>15</v>
      </c>
      <c r="F71" s="4" t="s">
        <v>16</v>
      </c>
      <c r="G71" s="4" t="s">
        <v>17</v>
      </c>
      <c r="H71" s="4" t="s">
        <v>25</v>
      </c>
      <c r="I71" s="4" t="s">
        <v>18</v>
      </c>
      <c r="J71" s="4" t="s">
        <v>17</v>
      </c>
      <c r="K71" s="5" t="s">
        <v>26</v>
      </c>
      <c r="L71" s="4" t="n">
        <f aca="false">IF(K71="","",COUNTIF($K$3:K71,K71))</f>
        <v>18</v>
      </c>
    </row>
    <row r="72" customFormat="false" ht="15" hidden="false" customHeight="false" outlineLevel="0" collapsed="false">
      <c r="A72" s="4" t="s">
        <v>99</v>
      </c>
      <c r="B72" s="4" t="n">
        <v>526</v>
      </c>
      <c r="C72" s="4" t="s">
        <v>24</v>
      </c>
      <c r="D72" s="4" t="n">
        <v>530</v>
      </c>
      <c r="E72" s="4" t="s">
        <v>24</v>
      </c>
      <c r="F72" s="4" t="s">
        <v>22</v>
      </c>
      <c r="G72" s="4" t="s">
        <v>17</v>
      </c>
      <c r="H72" s="4" t="s">
        <v>17</v>
      </c>
      <c r="I72" s="4" t="s">
        <v>29</v>
      </c>
      <c r="J72" s="4" t="s">
        <v>25</v>
      </c>
      <c r="K72" s="5" t="s">
        <v>26</v>
      </c>
      <c r="L72" s="4" t="n">
        <f aca="false">IF(K72="","",COUNTIF($K$3:K72,K72))</f>
        <v>19</v>
      </c>
    </row>
    <row r="73" customFormat="false" ht="15" hidden="false" customHeight="false" outlineLevel="0" collapsed="false">
      <c r="A73" s="4" t="s">
        <v>100</v>
      </c>
      <c r="B73" s="4" t="n">
        <v>433</v>
      </c>
      <c r="C73" s="4" t="s">
        <v>28</v>
      </c>
      <c r="D73" s="4" t="n">
        <v>540</v>
      </c>
      <c r="E73" s="4" t="s">
        <v>14</v>
      </c>
      <c r="F73" s="4" t="s">
        <v>16</v>
      </c>
      <c r="G73" s="4" t="s">
        <v>17</v>
      </c>
      <c r="H73" s="4" t="s">
        <v>17</v>
      </c>
      <c r="I73" s="4" t="s">
        <v>38</v>
      </c>
      <c r="J73" s="4" t="s">
        <v>17</v>
      </c>
      <c r="K73" s="5" t="s">
        <v>36</v>
      </c>
      <c r="L73" s="4" t="n">
        <f aca="false">IF(K73="","",COUNTIF($K$3:K73,K73))</f>
        <v>14</v>
      </c>
    </row>
    <row r="74" customFormat="false" ht="15" hidden="false" customHeight="false" outlineLevel="0" collapsed="false">
      <c r="A74" s="4" t="s">
        <v>101</v>
      </c>
      <c r="B74" s="4" t="n">
        <v>499</v>
      </c>
      <c r="C74" s="4" t="s">
        <v>15</v>
      </c>
      <c r="D74" s="4" t="n">
        <v>541</v>
      </c>
      <c r="E74" s="4" t="s">
        <v>14</v>
      </c>
      <c r="F74" s="4" t="s">
        <v>16</v>
      </c>
      <c r="G74" s="4" t="s">
        <v>17</v>
      </c>
      <c r="H74" s="4" t="s">
        <v>17</v>
      </c>
      <c r="I74" s="4" t="s">
        <v>38</v>
      </c>
      <c r="J74" s="4" t="s">
        <v>25</v>
      </c>
      <c r="K74" s="5" t="s">
        <v>34</v>
      </c>
      <c r="L74" s="4" t="n">
        <f aca="false">IF(K74="","",COUNTIF($K$3:K74,K74))</f>
        <v>18</v>
      </c>
    </row>
    <row r="75" customFormat="false" ht="15" hidden="false" customHeight="false" outlineLevel="0" collapsed="false">
      <c r="A75" s="4" t="s">
        <v>102</v>
      </c>
      <c r="B75" s="4" t="n">
        <v>546</v>
      </c>
      <c r="C75" s="4" t="s">
        <v>14</v>
      </c>
      <c r="D75" s="4" t="n">
        <v>450</v>
      </c>
      <c r="E75" s="4" t="s">
        <v>28</v>
      </c>
      <c r="F75" s="4" t="s">
        <v>16</v>
      </c>
      <c r="G75" s="4" t="s">
        <v>17</v>
      </c>
      <c r="H75" s="4" t="s">
        <v>17</v>
      </c>
      <c r="I75" s="4" t="s">
        <v>38</v>
      </c>
      <c r="J75" s="4" t="s">
        <v>17</v>
      </c>
      <c r="K75" s="5" t="s">
        <v>26</v>
      </c>
      <c r="L75" s="4" t="n">
        <f aca="false">IF(K75="","",COUNTIF($K$3:K75,K75))</f>
        <v>20</v>
      </c>
    </row>
    <row r="76" customFormat="false" ht="15" hidden="false" customHeight="false" outlineLevel="0" collapsed="false">
      <c r="A76" s="4" t="s">
        <v>103</v>
      </c>
      <c r="B76" s="4" t="n">
        <v>488</v>
      </c>
      <c r="C76" s="4" t="s">
        <v>15</v>
      </c>
      <c r="D76" s="4" t="n">
        <v>483</v>
      </c>
      <c r="E76" s="4" t="s">
        <v>15</v>
      </c>
      <c r="F76" s="4" t="s">
        <v>16</v>
      </c>
      <c r="G76" s="4" t="s">
        <v>17</v>
      </c>
      <c r="H76" s="4" t="s">
        <v>17</v>
      </c>
      <c r="I76" s="4" t="s">
        <v>29</v>
      </c>
      <c r="J76" s="4" t="s">
        <v>25</v>
      </c>
      <c r="K76" s="5" t="s">
        <v>34</v>
      </c>
      <c r="L76" s="4" t="n">
        <f aca="false">IF(K76="","",COUNTIF($K$3:K76,K76))</f>
        <v>19</v>
      </c>
    </row>
    <row r="77" customFormat="false" ht="15" hidden="false" customHeight="false" outlineLevel="0" collapsed="false">
      <c r="A77" s="4" t="s">
        <v>104</v>
      </c>
      <c r="B77" s="4" t="n">
        <v>475</v>
      </c>
      <c r="C77" s="4" t="s">
        <v>15</v>
      </c>
      <c r="D77" s="4" t="n">
        <v>532</v>
      </c>
      <c r="E77" s="4" t="s">
        <v>24</v>
      </c>
      <c r="F77" s="4" t="s">
        <v>22</v>
      </c>
      <c r="G77" s="4" t="s">
        <v>17</v>
      </c>
      <c r="H77" s="4" t="s">
        <v>17</v>
      </c>
      <c r="I77" s="4" t="s">
        <v>29</v>
      </c>
      <c r="J77" s="4" t="s">
        <v>17</v>
      </c>
      <c r="K77" s="5" t="s">
        <v>19</v>
      </c>
      <c r="L77" s="4" t="n">
        <f aca="false">IF(K77="","",COUNTIF($K$3:K77,K77))</f>
        <v>22</v>
      </c>
    </row>
    <row r="78" customFormat="false" ht="15" hidden="false" customHeight="false" outlineLevel="0" collapsed="false">
      <c r="A78" s="4" t="s">
        <v>105</v>
      </c>
      <c r="B78" s="4" t="n">
        <v>519</v>
      </c>
      <c r="C78" s="4" t="s">
        <v>24</v>
      </c>
      <c r="D78" s="4" t="n">
        <v>551</v>
      </c>
      <c r="E78" s="4" t="s">
        <v>14</v>
      </c>
      <c r="F78" s="4" t="s">
        <v>22</v>
      </c>
      <c r="G78" s="4" t="s">
        <v>25</v>
      </c>
      <c r="H78" s="4" t="s">
        <v>17</v>
      </c>
      <c r="I78" s="4" t="s">
        <v>18</v>
      </c>
      <c r="J78" s="4" t="s">
        <v>25</v>
      </c>
      <c r="K78" s="5" t="s">
        <v>36</v>
      </c>
      <c r="L78" s="4" t="n">
        <f aca="false">IF(K78="","",COUNTIF($K$3:K78,K78))</f>
        <v>15</v>
      </c>
    </row>
    <row r="79" customFormat="false" ht="15" hidden="false" customHeight="false" outlineLevel="0" collapsed="false">
      <c r="A79" s="4" t="s">
        <v>106</v>
      </c>
      <c r="B79" s="4" t="n">
        <v>495</v>
      </c>
      <c r="C79" s="4" t="s">
        <v>15</v>
      </c>
      <c r="D79" s="4" t="n">
        <v>558</v>
      </c>
      <c r="E79" s="4" t="s">
        <v>14</v>
      </c>
      <c r="F79" s="4" t="s">
        <v>22</v>
      </c>
      <c r="G79" s="4" t="s">
        <v>25</v>
      </c>
      <c r="H79" s="4" t="s">
        <v>17</v>
      </c>
      <c r="I79" s="4" t="s">
        <v>38</v>
      </c>
      <c r="J79" s="4" t="s">
        <v>25</v>
      </c>
      <c r="K79" s="5" t="s">
        <v>36</v>
      </c>
      <c r="L79" s="4" t="n">
        <f aca="false">IF(K79="","",COUNTIF($K$3:K79,K79))</f>
        <v>16</v>
      </c>
    </row>
    <row r="80" customFormat="false" ht="15" hidden="false" customHeight="false" outlineLevel="0" collapsed="false">
      <c r="A80" s="4" t="s">
        <v>107</v>
      </c>
      <c r="B80" s="4" t="n">
        <v>541</v>
      </c>
      <c r="C80" s="4" t="s">
        <v>14</v>
      </c>
      <c r="D80" s="4" t="n">
        <v>550</v>
      </c>
      <c r="E80" s="4" t="s">
        <v>14</v>
      </c>
      <c r="F80" s="4" t="s">
        <v>16</v>
      </c>
      <c r="G80" s="4" t="s">
        <v>17</v>
      </c>
      <c r="H80" s="4" t="s">
        <v>17</v>
      </c>
      <c r="I80" s="4" t="s">
        <v>29</v>
      </c>
      <c r="J80" s="4" t="s">
        <v>25</v>
      </c>
      <c r="K80" s="5" t="s">
        <v>19</v>
      </c>
      <c r="L80" s="4" t="n">
        <f aca="false">IF(K80="","",COUNTIF($K$3:K80,K80))</f>
        <v>23</v>
      </c>
    </row>
    <row r="81" customFormat="false" ht="15" hidden="false" customHeight="false" outlineLevel="0" collapsed="false">
      <c r="A81" s="4" t="s">
        <v>108</v>
      </c>
      <c r="B81" s="4" t="n">
        <v>556</v>
      </c>
      <c r="C81" s="4" t="s">
        <v>14</v>
      </c>
      <c r="D81" s="4" t="n">
        <v>544</v>
      </c>
      <c r="E81" s="4" t="s">
        <v>14</v>
      </c>
      <c r="F81" s="4" t="s">
        <v>22</v>
      </c>
      <c r="G81" s="4" t="s">
        <v>17</v>
      </c>
      <c r="H81" s="4" t="s">
        <v>17</v>
      </c>
      <c r="I81" s="4" t="s">
        <v>38</v>
      </c>
      <c r="J81" s="4" t="s">
        <v>17</v>
      </c>
      <c r="K81" s="5" t="s">
        <v>34</v>
      </c>
      <c r="L81" s="4" t="n">
        <f aca="false">IF(K81="","",COUNTIF($K$3:K81,K81))</f>
        <v>20</v>
      </c>
    </row>
    <row r="82" customFormat="false" ht="15" hidden="false" customHeight="false" outlineLevel="0" collapsed="false">
      <c r="A82" s="4" t="s">
        <v>109</v>
      </c>
      <c r="B82" s="4" t="n">
        <v>410</v>
      </c>
      <c r="C82" s="4" t="s">
        <v>32</v>
      </c>
      <c r="D82" s="4" t="n">
        <v>518</v>
      </c>
      <c r="E82" s="4" t="s">
        <v>24</v>
      </c>
      <c r="F82" s="4" t="s">
        <v>22</v>
      </c>
      <c r="G82" s="4" t="s">
        <v>17</v>
      </c>
      <c r="H82" s="4" t="s">
        <v>17</v>
      </c>
      <c r="I82" s="4" t="s">
        <v>38</v>
      </c>
      <c r="J82" s="4" t="s">
        <v>17</v>
      </c>
      <c r="K82" s="5" t="s">
        <v>36</v>
      </c>
      <c r="L82" s="4" t="n">
        <f aca="false">IF(K82="","",COUNTIF($K$3:K82,K82))</f>
        <v>17</v>
      </c>
    </row>
    <row r="83" customFormat="false" ht="15" hidden="false" customHeight="false" outlineLevel="0" collapsed="false">
      <c r="A83" s="4" t="s">
        <v>110</v>
      </c>
      <c r="B83" s="4" t="n">
        <v>538</v>
      </c>
      <c r="C83" s="4" t="s">
        <v>14</v>
      </c>
      <c r="D83" s="4" t="n">
        <v>549</v>
      </c>
      <c r="E83" s="4" t="s">
        <v>14</v>
      </c>
      <c r="F83" s="4" t="s">
        <v>16</v>
      </c>
      <c r="G83" s="4" t="s">
        <v>17</v>
      </c>
      <c r="H83" s="4" t="s">
        <v>17</v>
      </c>
      <c r="I83" s="4" t="s">
        <v>29</v>
      </c>
      <c r="J83" s="4" t="s">
        <v>17</v>
      </c>
      <c r="K83" s="5" t="s">
        <v>36</v>
      </c>
      <c r="L83" s="4" t="n">
        <f aca="false">IF(K83="","",COUNTIF($K$3:K83,K83))</f>
        <v>18</v>
      </c>
    </row>
    <row r="84" customFormat="false" ht="15" hidden="false" customHeight="false" outlineLevel="0" collapsed="false">
      <c r="A84" s="4" t="s">
        <v>111</v>
      </c>
      <c r="B84" s="4" t="n">
        <v>423</v>
      </c>
      <c r="C84" s="4" t="s">
        <v>32</v>
      </c>
      <c r="D84" s="4" t="n">
        <v>472</v>
      </c>
      <c r="E84" s="4" t="s">
        <v>15</v>
      </c>
      <c r="F84" s="4" t="s">
        <v>16</v>
      </c>
      <c r="G84" s="4" t="s">
        <v>25</v>
      </c>
      <c r="H84" s="4" t="s">
        <v>17</v>
      </c>
      <c r="I84" s="4" t="s">
        <v>33</v>
      </c>
      <c r="J84" s="4" t="s">
        <v>17</v>
      </c>
      <c r="K84" s="5" t="s">
        <v>26</v>
      </c>
      <c r="L84" s="4" t="n">
        <f aca="false">IF(K84="","",COUNTIF($K$3:K84,K84))</f>
        <v>21</v>
      </c>
    </row>
    <row r="85" customFormat="false" ht="15" hidden="false" customHeight="false" outlineLevel="0" collapsed="false">
      <c r="A85" s="4" t="s">
        <v>112</v>
      </c>
      <c r="B85" s="4" t="n">
        <v>559</v>
      </c>
      <c r="C85" s="4" t="s">
        <v>14</v>
      </c>
      <c r="D85" s="4" t="n">
        <v>454</v>
      </c>
      <c r="E85" s="4" t="s">
        <v>28</v>
      </c>
      <c r="F85" s="4" t="s">
        <v>16</v>
      </c>
      <c r="G85" s="4" t="s">
        <v>17</v>
      </c>
      <c r="H85" s="4" t="s">
        <v>17</v>
      </c>
      <c r="I85" s="4" t="s">
        <v>29</v>
      </c>
      <c r="J85" s="4" t="s">
        <v>17</v>
      </c>
      <c r="K85" s="5" t="s">
        <v>34</v>
      </c>
      <c r="L85" s="4" t="n">
        <f aca="false">IF(K85="","",COUNTIF($K$3:K85,K85))</f>
        <v>21</v>
      </c>
    </row>
    <row r="86" customFormat="false" ht="15" hidden="false" customHeight="false" outlineLevel="0" collapsed="false">
      <c r="A86" s="4" t="s">
        <v>113</v>
      </c>
      <c r="B86" s="4" t="n">
        <v>509</v>
      </c>
      <c r="C86" s="4" t="s">
        <v>24</v>
      </c>
      <c r="D86" s="4" t="n">
        <v>448</v>
      </c>
      <c r="E86" s="4" t="s">
        <v>28</v>
      </c>
      <c r="F86" s="4" t="s">
        <v>16</v>
      </c>
      <c r="G86" s="4" t="s">
        <v>17</v>
      </c>
      <c r="H86" s="4" t="s">
        <v>17</v>
      </c>
      <c r="I86" s="4" t="s">
        <v>18</v>
      </c>
      <c r="J86" s="4" t="s">
        <v>17</v>
      </c>
      <c r="K86" s="5" t="s">
        <v>34</v>
      </c>
      <c r="L86" s="4" t="n">
        <f aca="false">IF(K86="","",COUNTIF($K$3:K86,K86))</f>
        <v>22</v>
      </c>
    </row>
    <row r="87" customFormat="false" ht="15" hidden="false" customHeight="false" outlineLevel="0" collapsed="false">
      <c r="A87" s="4" t="s">
        <v>114</v>
      </c>
      <c r="B87" s="4" t="n">
        <v>535</v>
      </c>
      <c r="C87" s="4" t="s">
        <v>24</v>
      </c>
      <c r="D87" s="4" t="n">
        <v>517</v>
      </c>
      <c r="E87" s="4" t="s">
        <v>24</v>
      </c>
      <c r="F87" s="4" t="s">
        <v>16</v>
      </c>
      <c r="G87" s="4" t="s">
        <v>17</v>
      </c>
      <c r="H87" s="4" t="s">
        <v>17</v>
      </c>
      <c r="I87" s="4" t="s">
        <v>18</v>
      </c>
      <c r="J87" s="4" t="s">
        <v>17</v>
      </c>
      <c r="K87" s="5" t="s">
        <v>19</v>
      </c>
      <c r="L87" s="4" t="n">
        <f aca="false">IF(K87="","",COUNTIF($K$3:K87,K87))</f>
        <v>24</v>
      </c>
    </row>
    <row r="88" customFormat="false" ht="15" hidden="false" customHeight="false" outlineLevel="0" collapsed="false">
      <c r="A88" s="4" t="s">
        <v>115</v>
      </c>
      <c r="B88" s="4" t="n">
        <v>452</v>
      </c>
      <c r="C88" s="4" t="s">
        <v>28</v>
      </c>
      <c r="D88" s="4" t="n">
        <v>504</v>
      </c>
      <c r="E88" s="4" t="s">
        <v>15</v>
      </c>
      <c r="F88" s="4" t="s">
        <v>22</v>
      </c>
      <c r="G88" s="4" t="s">
        <v>17</v>
      </c>
      <c r="H88" s="4" t="s">
        <v>17</v>
      </c>
      <c r="I88" s="4" t="s">
        <v>18</v>
      </c>
      <c r="J88" s="4" t="s">
        <v>25</v>
      </c>
      <c r="K88" s="5" t="s">
        <v>26</v>
      </c>
      <c r="L88" s="4" t="n">
        <f aca="false">IF(K88="","",COUNTIF($K$3:K88,K88))</f>
        <v>22</v>
      </c>
    </row>
    <row r="89" customFormat="false" ht="15" hidden="false" customHeight="false" outlineLevel="0" collapsed="false">
      <c r="A89" s="4" t="s">
        <v>116</v>
      </c>
      <c r="B89" s="4" t="n">
        <v>417</v>
      </c>
      <c r="C89" s="4" t="s">
        <v>32</v>
      </c>
      <c r="D89" s="4" t="n">
        <v>537</v>
      </c>
      <c r="E89" s="4" t="s">
        <v>24</v>
      </c>
      <c r="F89" s="4" t="s">
        <v>22</v>
      </c>
      <c r="G89" s="4" t="s">
        <v>25</v>
      </c>
      <c r="H89" s="4" t="s">
        <v>17</v>
      </c>
      <c r="I89" s="4" t="s">
        <v>29</v>
      </c>
      <c r="J89" s="4" t="s">
        <v>17</v>
      </c>
      <c r="K89" s="5" t="s">
        <v>36</v>
      </c>
      <c r="L89" s="4" t="n">
        <f aca="false">IF(K89="","",COUNTIF($K$3:K89,K89))</f>
        <v>19</v>
      </c>
    </row>
    <row r="90" customFormat="false" ht="15" hidden="false" customHeight="false" outlineLevel="0" collapsed="false">
      <c r="A90" s="4" t="s">
        <v>117</v>
      </c>
      <c r="B90" s="4" t="n">
        <v>463</v>
      </c>
      <c r="C90" s="4" t="s">
        <v>28</v>
      </c>
      <c r="D90" s="4" t="n">
        <v>487</v>
      </c>
      <c r="E90" s="4" t="s">
        <v>15</v>
      </c>
      <c r="F90" s="4" t="s">
        <v>16</v>
      </c>
      <c r="G90" s="4" t="s">
        <v>17</v>
      </c>
      <c r="H90" s="4" t="s">
        <v>17</v>
      </c>
      <c r="I90" s="4" t="s">
        <v>33</v>
      </c>
      <c r="J90" s="4" t="s">
        <v>17</v>
      </c>
      <c r="K90" s="5" t="s">
        <v>26</v>
      </c>
      <c r="L90" s="4" t="n">
        <f aca="false">IF(K90="","",COUNTIF($K$3:K90,K90))</f>
        <v>23</v>
      </c>
    </row>
    <row r="91" customFormat="false" ht="15" hidden="false" customHeight="false" outlineLevel="0" collapsed="false">
      <c r="A91" s="4" t="s">
        <v>118</v>
      </c>
      <c r="B91" s="4" t="n">
        <v>514</v>
      </c>
      <c r="C91" s="4" t="s">
        <v>24</v>
      </c>
      <c r="D91" s="4" t="n">
        <v>561</v>
      </c>
      <c r="E91" s="4" t="s">
        <v>14</v>
      </c>
      <c r="F91" s="4" t="s">
        <v>16</v>
      </c>
      <c r="G91" s="4" t="s">
        <v>17</v>
      </c>
      <c r="H91" s="4" t="s">
        <v>17</v>
      </c>
      <c r="I91" s="4" t="s">
        <v>18</v>
      </c>
      <c r="J91" s="4" t="s">
        <v>17</v>
      </c>
      <c r="K91" s="5" t="s">
        <v>34</v>
      </c>
      <c r="L91" s="4" t="n">
        <f aca="false">IF(K91="","",COUNTIF($K$3:K91,K91))</f>
        <v>23</v>
      </c>
    </row>
    <row r="92" customFormat="false" ht="15" hidden="false" customHeight="false" outlineLevel="0" collapsed="false">
      <c r="A92" s="4" t="s">
        <v>119</v>
      </c>
      <c r="B92" s="4" t="n">
        <v>519</v>
      </c>
      <c r="C92" s="4" t="s">
        <v>24</v>
      </c>
      <c r="D92" s="4" t="n">
        <v>516</v>
      </c>
      <c r="E92" s="4" t="s">
        <v>24</v>
      </c>
      <c r="F92" s="4" t="s">
        <v>16</v>
      </c>
      <c r="G92" s="4" t="s">
        <v>17</v>
      </c>
      <c r="H92" s="4" t="s">
        <v>17</v>
      </c>
      <c r="I92" s="4" t="s">
        <v>18</v>
      </c>
      <c r="J92" s="4" t="s">
        <v>17</v>
      </c>
      <c r="K92" s="5" t="s">
        <v>26</v>
      </c>
      <c r="L92" s="4" t="n">
        <f aca="false">IF(K92="","",COUNTIF($K$3:K92,K92))</f>
        <v>24</v>
      </c>
    </row>
    <row r="93" customFormat="false" ht="15" hidden="false" customHeight="false" outlineLevel="0" collapsed="false">
      <c r="A93" s="4" t="s">
        <v>120</v>
      </c>
      <c r="B93" s="4" t="n">
        <v>501</v>
      </c>
      <c r="C93" s="4" t="s">
        <v>24</v>
      </c>
      <c r="D93" s="4" t="n">
        <v>539</v>
      </c>
      <c r="E93" s="4" t="s">
        <v>24</v>
      </c>
      <c r="F93" s="4" t="s">
        <v>22</v>
      </c>
      <c r="G93" s="4" t="s">
        <v>17</v>
      </c>
      <c r="H93" s="4" t="s">
        <v>17</v>
      </c>
      <c r="I93" s="4" t="s">
        <v>18</v>
      </c>
      <c r="J93" s="4" t="s">
        <v>17</v>
      </c>
      <c r="K93" s="5" t="s">
        <v>34</v>
      </c>
      <c r="L93" s="4" t="n">
        <f aca="false">IF(K93="","",COUNTIF($K$3:K93,K93))</f>
        <v>24</v>
      </c>
    </row>
    <row r="94" customFormat="false" ht="15" hidden="false" customHeight="false" outlineLevel="0" collapsed="false">
      <c r="A94" s="4" t="s">
        <v>121</v>
      </c>
      <c r="B94" s="4" t="n">
        <v>475</v>
      </c>
      <c r="C94" s="4" t="s">
        <v>15</v>
      </c>
      <c r="D94" s="4" t="n">
        <v>569</v>
      </c>
      <c r="E94" s="4" t="s">
        <v>14</v>
      </c>
      <c r="F94" s="4" t="s">
        <v>16</v>
      </c>
      <c r="G94" s="4" t="s">
        <v>17</v>
      </c>
      <c r="H94" s="4" t="s">
        <v>17</v>
      </c>
      <c r="I94" s="4" t="s">
        <v>33</v>
      </c>
      <c r="J94" s="4" t="s">
        <v>17</v>
      </c>
      <c r="K94" s="5" t="s">
        <v>34</v>
      </c>
      <c r="L94" s="4" t="n">
        <f aca="false">IF(K94="","",COUNTIF($K$3:K94,K94))</f>
        <v>25</v>
      </c>
    </row>
    <row r="95" customFormat="false" ht="15" hidden="false" customHeight="false" outlineLevel="0" collapsed="false">
      <c r="A95" s="4" t="s">
        <v>122</v>
      </c>
      <c r="B95" s="4" t="n">
        <v>504</v>
      </c>
      <c r="C95" s="4" t="s">
        <v>24</v>
      </c>
      <c r="D95" s="4" t="n">
        <v>474</v>
      </c>
      <c r="E95" s="4" t="s">
        <v>15</v>
      </c>
      <c r="F95" s="4" t="s">
        <v>16</v>
      </c>
      <c r="G95" s="4" t="s">
        <v>17</v>
      </c>
      <c r="H95" s="4" t="s">
        <v>17</v>
      </c>
      <c r="I95" s="4" t="s">
        <v>18</v>
      </c>
      <c r="J95" s="4" t="s">
        <v>17</v>
      </c>
      <c r="K95" s="5" t="s">
        <v>26</v>
      </c>
      <c r="L95" s="4" t="n">
        <f aca="false">IF(K95="","",COUNTIF($K$3:K95,K95))</f>
        <v>25</v>
      </c>
    </row>
    <row r="96" customFormat="false" ht="15" hidden="false" customHeight="false" outlineLevel="0" collapsed="false">
      <c r="A96" s="4" t="s">
        <v>123</v>
      </c>
      <c r="B96" s="4" t="n">
        <v>476</v>
      </c>
      <c r="C96" s="4" t="s">
        <v>15</v>
      </c>
      <c r="D96" s="4" t="n">
        <v>524</v>
      </c>
      <c r="E96" s="4" t="s">
        <v>24</v>
      </c>
      <c r="F96" s="4" t="s">
        <v>16</v>
      </c>
      <c r="G96" s="4" t="s">
        <v>17</v>
      </c>
      <c r="H96" s="4" t="s">
        <v>17</v>
      </c>
      <c r="I96" s="4" t="s">
        <v>33</v>
      </c>
      <c r="J96" s="4" t="s">
        <v>17</v>
      </c>
      <c r="K96" s="5" t="s">
        <v>26</v>
      </c>
      <c r="L96" s="4" t="n">
        <f aca="false">IF(K96="","",COUNTIF($K$3:K96,K96))</f>
        <v>26</v>
      </c>
    </row>
    <row r="97" customFormat="false" ht="15" hidden="false" customHeight="false" outlineLevel="0" collapsed="false">
      <c r="A97" s="4" t="s">
        <v>124</v>
      </c>
      <c r="B97" s="4" t="n">
        <v>507</v>
      </c>
      <c r="C97" s="4" t="s">
        <v>24</v>
      </c>
      <c r="D97" s="4" t="n">
        <v>440</v>
      </c>
      <c r="E97" s="4" t="s">
        <v>28</v>
      </c>
      <c r="F97" s="4" t="s">
        <v>22</v>
      </c>
      <c r="G97" s="4" t="s">
        <v>17</v>
      </c>
      <c r="H97" s="4" t="s">
        <v>25</v>
      </c>
      <c r="I97" s="4" t="s">
        <v>18</v>
      </c>
      <c r="J97" s="4" t="s">
        <v>17</v>
      </c>
      <c r="K97" s="5" t="s">
        <v>36</v>
      </c>
      <c r="L97" s="4" t="n">
        <f aca="false">IF(K97="","",COUNTIF($K$3:K97,K97))</f>
        <v>20</v>
      </c>
    </row>
    <row r="98" customFormat="false" ht="15" hidden="false" customHeight="false" outlineLevel="0" collapsed="false">
      <c r="A98" s="4" t="s">
        <v>125</v>
      </c>
      <c r="B98" s="4" t="n">
        <v>473</v>
      </c>
      <c r="C98" s="4" t="s">
        <v>15</v>
      </c>
      <c r="D98" s="4" t="n">
        <v>427</v>
      </c>
      <c r="E98" s="4" t="s">
        <v>32</v>
      </c>
      <c r="F98" s="4" t="s">
        <v>22</v>
      </c>
      <c r="G98" s="4" t="s">
        <v>17</v>
      </c>
      <c r="H98" s="4" t="s">
        <v>17</v>
      </c>
      <c r="I98" s="4" t="s">
        <v>18</v>
      </c>
      <c r="J98" s="4" t="s">
        <v>17</v>
      </c>
      <c r="K98" s="5" t="s">
        <v>36</v>
      </c>
      <c r="L98" s="4" t="n">
        <f aca="false">IF(K98="","",COUNTIF($K$3:K98,K98))</f>
        <v>21</v>
      </c>
    </row>
    <row r="99" customFormat="false" ht="15" hidden="false" customHeight="false" outlineLevel="0" collapsed="false">
      <c r="A99" s="4" t="s">
        <v>126</v>
      </c>
      <c r="B99" s="4" t="n">
        <v>537</v>
      </c>
      <c r="C99" s="4" t="s">
        <v>14</v>
      </c>
      <c r="D99" s="4" t="n">
        <v>570</v>
      </c>
      <c r="E99" s="4" t="s">
        <v>14</v>
      </c>
      <c r="F99" s="4" t="s">
        <v>22</v>
      </c>
      <c r="G99" s="4" t="s">
        <v>17</v>
      </c>
      <c r="H99" s="4" t="s">
        <v>17</v>
      </c>
      <c r="I99" s="4" t="s">
        <v>18</v>
      </c>
      <c r="J99" s="4" t="s">
        <v>17</v>
      </c>
      <c r="K99" s="5" t="s">
        <v>36</v>
      </c>
      <c r="L99" s="4" t="n">
        <f aca="false">IF(K99="","",COUNTIF($K$3:K99,K99))</f>
        <v>22</v>
      </c>
    </row>
    <row r="100" customFormat="false" ht="15" hidden="false" customHeight="false" outlineLevel="0" collapsed="false">
      <c r="A100" s="4" t="s">
        <v>127</v>
      </c>
      <c r="B100" s="4" t="n">
        <v>456</v>
      </c>
      <c r="C100" s="4" t="s">
        <v>28</v>
      </c>
      <c r="D100" s="4" t="n">
        <v>553</v>
      </c>
      <c r="E100" s="4" t="s">
        <v>14</v>
      </c>
      <c r="F100" s="4" t="s">
        <v>16</v>
      </c>
      <c r="G100" s="4" t="s">
        <v>17</v>
      </c>
      <c r="H100" s="4" t="s">
        <v>17</v>
      </c>
      <c r="I100" s="4" t="s">
        <v>33</v>
      </c>
      <c r="J100" s="4" t="s">
        <v>17</v>
      </c>
      <c r="K100" s="5" t="s">
        <v>19</v>
      </c>
      <c r="L100" s="4" t="n">
        <f aca="false">IF(K100="","",COUNTIF($K$3:K100,K100))</f>
        <v>25</v>
      </c>
    </row>
    <row r="101" customFormat="false" ht="15" hidden="false" customHeight="false" outlineLevel="0" collapsed="false">
      <c r="A101" s="4" t="s">
        <v>128</v>
      </c>
      <c r="B101" s="4" t="n">
        <v>457</v>
      </c>
      <c r="C101" s="4" t="s">
        <v>28</v>
      </c>
      <c r="D101" s="4" t="n">
        <v>538</v>
      </c>
      <c r="E101" s="4" t="s">
        <v>14</v>
      </c>
      <c r="F101" s="4" t="s">
        <v>22</v>
      </c>
      <c r="G101" s="4" t="s">
        <v>17</v>
      </c>
      <c r="H101" s="4" t="s">
        <v>17</v>
      </c>
      <c r="I101" s="4" t="s">
        <v>18</v>
      </c>
      <c r="J101" s="4" t="s">
        <v>17</v>
      </c>
      <c r="K101" s="5" t="s">
        <v>19</v>
      </c>
      <c r="L101" s="4" t="n">
        <f aca="false">IF(K101="","",COUNTIF($K$3:K101,K101))</f>
        <v>26</v>
      </c>
    </row>
    <row r="102" customFormat="false" ht="15" hidden="false" customHeight="false" outlineLevel="0" collapsed="false">
      <c r="A102" s="4" t="s">
        <v>129</v>
      </c>
      <c r="B102" s="4" t="n">
        <v>526</v>
      </c>
      <c r="C102" s="4" t="s">
        <v>24</v>
      </c>
      <c r="D102" s="4" t="n">
        <v>465</v>
      </c>
      <c r="E102" s="4" t="s">
        <v>15</v>
      </c>
      <c r="F102" s="4" t="s">
        <v>22</v>
      </c>
      <c r="G102" s="4" t="s">
        <v>17</v>
      </c>
      <c r="H102" s="4" t="s">
        <v>17</v>
      </c>
      <c r="I102" s="4" t="s">
        <v>33</v>
      </c>
      <c r="J102" s="4" t="s">
        <v>17</v>
      </c>
      <c r="K102" s="5" t="s">
        <v>36</v>
      </c>
      <c r="L102" s="4" t="n">
        <f aca="false">IF(K102="","",COUNTIF($K$3:K102,K102))</f>
        <v>23</v>
      </c>
    </row>
    <row r="103" customFormat="false" ht="15" hidden="false" customHeight="false" outlineLevel="0" collapsed="false">
      <c r="A103" s="4" t="s">
        <v>130</v>
      </c>
      <c r="B103" s="4" t="n">
        <v>489</v>
      </c>
      <c r="C103" s="4" t="s">
        <v>15</v>
      </c>
      <c r="D103" s="4" t="n">
        <v>550</v>
      </c>
      <c r="E103" s="4" t="s">
        <v>14</v>
      </c>
      <c r="F103" s="4" t="s">
        <v>16</v>
      </c>
      <c r="G103" s="4" t="s">
        <v>17</v>
      </c>
      <c r="H103" s="4" t="s">
        <v>17</v>
      </c>
      <c r="I103" s="4" t="s">
        <v>18</v>
      </c>
      <c r="J103" s="4" t="s">
        <v>17</v>
      </c>
      <c r="K103" s="5" t="s">
        <v>36</v>
      </c>
      <c r="L103" s="4" t="n">
        <f aca="false">IF(K103="","",COUNTIF($K$3:K103,K103))</f>
        <v>24</v>
      </c>
    </row>
    <row r="104" customFormat="false" ht="15" hidden="false" customHeight="false" outlineLevel="0" collapsed="false">
      <c r="A104" s="4" t="s">
        <v>131</v>
      </c>
      <c r="B104" s="4" t="n">
        <v>487</v>
      </c>
      <c r="C104" s="4" t="s">
        <v>15</v>
      </c>
      <c r="D104" s="4" t="n">
        <v>564</v>
      </c>
      <c r="E104" s="4" t="s">
        <v>14</v>
      </c>
      <c r="F104" s="4" t="s">
        <v>22</v>
      </c>
      <c r="G104" s="4" t="s">
        <v>25</v>
      </c>
      <c r="H104" s="4" t="s">
        <v>17</v>
      </c>
      <c r="I104" s="4" t="s">
        <v>18</v>
      </c>
      <c r="J104" s="4" t="s">
        <v>17</v>
      </c>
      <c r="K104" s="5" t="s">
        <v>34</v>
      </c>
      <c r="L104" s="4" t="n">
        <f aca="false">IF(K104="","",COUNTIF($K$3:K104,K104))</f>
        <v>26</v>
      </c>
    </row>
    <row r="105" customFormat="false" ht="15" hidden="false" customHeight="false" outlineLevel="0" collapsed="false">
      <c r="A105" s="4" t="s">
        <v>132</v>
      </c>
      <c r="B105" s="4" t="n">
        <v>469</v>
      </c>
      <c r="C105" s="4" t="s">
        <v>28</v>
      </c>
      <c r="D105" s="4" t="n">
        <v>558</v>
      </c>
      <c r="E105" s="4" t="s">
        <v>14</v>
      </c>
      <c r="F105" s="4" t="s">
        <v>16</v>
      </c>
      <c r="G105" s="4" t="s">
        <v>17</v>
      </c>
      <c r="H105" s="4" t="s">
        <v>17</v>
      </c>
      <c r="I105" s="4" t="s">
        <v>18</v>
      </c>
      <c r="J105" s="4" t="s">
        <v>17</v>
      </c>
      <c r="K105" s="5" t="s">
        <v>36</v>
      </c>
      <c r="L105" s="4" t="n">
        <f aca="false">IF(K105="","",COUNTIF($K$3:K105,K105))</f>
        <v>25</v>
      </c>
    </row>
    <row r="106" customFormat="false" ht="15" hidden="false" customHeight="false" outlineLevel="0" collapsed="false">
      <c r="A106" s="4" t="s">
        <v>133</v>
      </c>
      <c r="B106" s="4" t="n">
        <v>501</v>
      </c>
      <c r="C106" s="4" t="s">
        <v>24</v>
      </c>
      <c r="D106" s="4" t="n">
        <v>452</v>
      </c>
      <c r="E106" s="4" t="s">
        <v>28</v>
      </c>
      <c r="F106" s="4" t="s">
        <v>16</v>
      </c>
      <c r="G106" s="4" t="s">
        <v>17</v>
      </c>
      <c r="H106" s="4" t="s">
        <v>17</v>
      </c>
      <c r="I106" s="4" t="s">
        <v>33</v>
      </c>
      <c r="J106" s="4" t="s">
        <v>17</v>
      </c>
      <c r="K106" s="5" t="s">
        <v>36</v>
      </c>
      <c r="L106" s="4" t="n">
        <f aca="false">IF(K106="","",COUNTIF($K$3:K106,K106))</f>
        <v>26</v>
      </c>
    </row>
    <row r="107" customFormat="false" ht="15" hidden="false" customHeight="false" outlineLevel="0" collapsed="false">
      <c r="A107" s="4" t="s">
        <v>134</v>
      </c>
      <c r="B107" s="4" t="n">
        <v>414</v>
      </c>
      <c r="C107" s="4" t="s">
        <v>32</v>
      </c>
      <c r="D107" s="4" t="n">
        <v>480</v>
      </c>
      <c r="E107" s="4" t="s">
        <v>15</v>
      </c>
      <c r="F107" s="4" t="s">
        <v>16</v>
      </c>
      <c r="G107" s="4" t="s">
        <v>17</v>
      </c>
      <c r="H107" s="4" t="s">
        <v>17</v>
      </c>
      <c r="I107" s="4" t="s">
        <v>18</v>
      </c>
      <c r="J107" s="4" t="s">
        <v>17</v>
      </c>
      <c r="K107" s="5" t="s">
        <v>19</v>
      </c>
      <c r="L107" s="4" t="n">
        <f aca="false">IF(K107="","",COUNTIF($K$3:K107,K107))</f>
        <v>27</v>
      </c>
    </row>
    <row r="108" customFormat="false" ht="15" hidden="false" customHeight="false" outlineLevel="0" collapsed="false">
      <c r="A108" s="4" t="s">
        <v>135</v>
      </c>
      <c r="B108" s="4" t="n">
        <v>531</v>
      </c>
      <c r="C108" s="4" t="s">
        <v>24</v>
      </c>
      <c r="D108" s="4" t="n">
        <v>477</v>
      </c>
      <c r="E108" s="4" t="s">
        <v>15</v>
      </c>
      <c r="F108" s="4" t="s">
        <v>16</v>
      </c>
      <c r="G108" s="4" t="s">
        <v>17</v>
      </c>
      <c r="H108" s="4" t="s">
        <v>25</v>
      </c>
      <c r="I108" s="4" t="s">
        <v>33</v>
      </c>
      <c r="J108" s="4" t="s">
        <v>17</v>
      </c>
      <c r="K108" s="5" t="s">
        <v>34</v>
      </c>
      <c r="L108" s="4" t="n">
        <f aca="false">IF(K108="","",COUNTIF($K$3:K108,K108))</f>
        <v>27</v>
      </c>
    </row>
    <row r="109" customFormat="false" ht="15" hidden="false" customHeight="false" outlineLevel="0" collapsed="false">
      <c r="A109" s="4" t="s">
        <v>136</v>
      </c>
      <c r="B109" s="4" t="n">
        <v>536</v>
      </c>
      <c r="C109" s="4" t="s">
        <v>14</v>
      </c>
      <c r="D109" s="4" t="n">
        <v>535</v>
      </c>
      <c r="E109" s="4" t="s">
        <v>14</v>
      </c>
      <c r="F109" s="4" t="s">
        <v>22</v>
      </c>
      <c r="G109" s="4" t="s">
        <v>17</v>
      </c>
      <c r="H109" s="4" t="s">
        <v>17</v>
      </c>
      <c r="I109" s="4" t="s">
        <v>38</v>
      </c>
      <c r="J109" s="4" t="s">
        <v>25</v>
      </c>
      <c r="K109" s="5" t="s">
        <v>19</v>
      </c>
      <c r="L109" s="4" t="n">
        <f aca="false">IF(K109="","",COUNTIF($K$3:K109,K109))</f>
        <v>28</v>
      </c>
    </row>
    <row r="110" customFormat="false" ht="15" hidden="false" customHeight="false" outlineLevel="0" collapsed="false">
      <c r="A110" s="4" t="s">
        <v>137</v>
      </c>
      <c r="B110" s="4" t="n">
        <v>513</v>
      </c>
      <c r="C110" s="4" t="s">
        <v>24</v>
      </c>
      <c r="D110" s="4" t="n">
        <v>521</v>
      </c>
      <c r="E110" s="4" t="s">
        <v>24</v>
      </c>
      <c r="F110" s="4" t="s">
        <v>22</v>
      </c>
      <c r="G110" s="4" t="s">
        <v>17</v>
      </c>
      <c r="H110" s="4" t="s">
        <v>17</v>
      </c>
      <c r="I110" s="4" t="s">
        <v>29</v>
      </c>
      <c r="J110" s="4" t="s">
        <v>17</v>
      </c>
      <c r="K110" s="5" t="s">
        <v>36</v>
      </c>
      <c r="L110" s="4" t="n">
        <f aca="false">IF(K110="","",COUNTIF($K$3:K110,K110))</f>
        <v>27</v>
      </c>
    </row>
    <row r="111" customFormat="false" ht="15" hidden="false" customHeight="false" outlineLevel="0" collapsed="false">
      <c r="A111" s="4" t="s">
        <v>138</v>
      </c>
      <c r="B111" s="4" t="n">
        <v>522</v>
      </c>
      <c r="C111" s="4" t="s">
        <v>24</v>
      </c>
      <c r="D111" s="4" t="n">
        <v>564</v>
      </c>
      <c r="E111" s="4" t="s">
        <v>14</v>
      </c>
      <c r="F111" s="4" t="s">
        <v>22</v>
      </c>
      <c r="G111" s="4" t="s">
        <v>17</v>
      </c>
      <c r="H111" s="4" t="s">
        <v>25</v>
      </c>
      <c r="I111" s="4" t="s">
        <v>18</v>
      </c>
      <c r="J111" s="4" t="s">
        <v>17</v>
      </c>
      <c r="K111" s="5" t="s">
        <v>26</v>
      </c>
      <c r="L111" s="4" t="n">
        <f aca="false">IF(K111="","",COUNTIF($K$3:K111,K111))</f>
        <v>27</v>
      </c>
    </row>
    <row r="112" customFormat="false" ht="15" hidden="false" customHeight="false" outlineLevel="0" collapsed="false">
      <c r="A112" s="4" t="s">
        <v>139</v>
      </c>
      <c r="B112" s="4" t="n">
        <v>516</v>
      </c>
      <c r="C112" s="4" t="s">
        <v>24</v>
      </c>
      <c r="D112" s="4" t="n">
        <v>397</v>
      </c>
      <c r="E112" s="4" t="s">
        <v>32</v>
      </c>
      <c r="F112" s="4" t="s">
        <v>22</v>
      </c>
      <c r="G112" s="4" t="s">
        <v>17</v>
      </c>
      <c r="H112" s="4" t="s">
        <v>17</v>
      </c>
      <c r="I112" s="4" t="s">
        <v>38</v>
      </c>
      <c r="J112" s="4" t="s">
        <v>25</v>
      </c>
      <c r="K112" s="5" t="s">
        <v>34</v>
      </c>
      <c r="L112" s="4" t="n">
        <f aca="false">IF(K112="","",COUNTIF($K$3:K112,K112))</f>
        <v>28</v>
      </c>
    </row>
    <row r="113" customFormat="false" ht="15" hidden="false" customHeight="false" outlineLevel="0" collapsed="false">
      <c r="A113" s="4" t="s">
        <v>140</v>
      </c>
      <c r="B113" s="4" t="n">
        <v>535</v>
      </c>
      <c r="C113" s="4" t="s">
        <v>14</v>
      </c>
      <c r="D113" s="4" t="n">
        <v>505</v>
      </c>
      <c r="E113" s="4" t="s">
        <v>15</v>
      </c>
      <c r="F113" s="4" t="s">
        <v>22</v>
      </c>
      <c r="G113" s="4" t="s">
        <v>17</v>
      </c>
      <c r="H113" s="4" t="s">
        <v>17</v>
      </c>
      <c r="I113" s="4" t="s">
        <v>18</v>
      </c>
      <c r="J113" s="4" t="s">
        <v>17</v>
      </c>
      <c r="K113" s="5" t="s">
        <v>26</v>
      </c>
      <c r="L113" s="4" t="n">
        <f aca="false">IF(K113="","",COUNTIF($K$3:K113,K113))</f>
        <v>28</v>
      </c>
    </row>
    <row r="114" customFormat="false" ht="15" hidden="false" customHeight="false" outlineLevel="0" collapsed="false">
      <c r="A114" s="4" t="s">
        <v>141</v>
      </c>
      <c r="B114" s="4" t="n">
        <v>470</v>
      </c>
      <c r="C114" s="4" t="s">
        <v>15</v>
      </c>
      <c r="D114" s="4" t="n">
        <v>564</v>
      </c>
      <c r="E114" s="4" t="s">
        <v>14</v>
      </c>
      <c r="F114" s="4" t="s">
        <v>16</v>
      </c>
      <c r="G114" s="4" t="s">
        <v>25</v>
      </c>
      <c r="H114" s="4" t="s">
        <v>17</v>
      </c>
      <c r="I114" s="4" t="s">
        <v>18</v>
      </c>
      <c r="J114" s="4" t="s">
        <v>17</v>
      </c>
      <c r="K114" s="5" t="s">
        <v>36</v>
      </c>
      <c r="L114" s="4" t="n">
        <f aca="false">IF(K114="","",COUNTIF($K$3:K114,K114))</f>
        <v>28</v>
      </c>
    </row>
  </sheetData>
  <autoFilter ref="A2:K114"/>
  <dataValidations count="1">
    <dataValidation allowBlank="false" errorStyle="stop" operator="between" showDropDown="false" showErrorMessage="false" showInputMessage="false" sqref="K3:K114" type="list">
      <formula1>"5A,5B,5C,5D"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0"/>
  </cols>
  <sheetData>
    <row r="1" customFormat="false" ht="16.15" hidden="false" customHeight="false" outlineLevel="0" collapsed="false">
      <c r="A1" s="6" t="s">
        <v>142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1" t="s">
        <v>143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33.75" hidden="false" customHeight="true" outlineLevel="0" collapsed="false">
      <c r="A4" s="3" t="s">
        <v>144</v>
      </c>
      <c r="B4" s="3" t="s">
        <v>19</v>
      </c>
      <c r="C4" s="3" t="s">
        <v>36</v>
      </c>
      <c r="D4" s="3" t="s">
        <v>26</v>
      </c>
      <c r="E4" s="3" t="s">
        <v>34</v>
      </c>
      <c r="F4" s="3" t="s">
        <v>145</v>
      </c>
    </row>
    <row r="5" customFormat="false" ht="15" hidden="false" customHeight="false" outlineLevel="0" collapsed="false">
      <c r="A5" s="4" t="s">
        <v>146</v>
      </c>
      <c r="B5" s="4" t="n">
        <f aca="false">COUNTIF(Students!$K$3:$K$114,"5A")</f>
        <v>28</v>
      </c>
      <c r="C5" s="4" t="n">
        <f aca="false">COUNTIF(Students!$K$3:$K$114,"5B")</f>
        <v>28</v>
      </c>
      <c r="D5" s="4" t="n">
        <f aca="false">COUNTIF(Students!$K$3:$K$114,"5C")</f>
        <v>28</v>
      </c>
      <c r="E5" s="4" t="n">
        <f aca="false">COUNTIF(Students!$K$3:$K$114,"5D")</f>
        <v>28</v>
      </c>
      <c r="F5" s="7" t="n">
        <f aca="false">MAX(B5:E5)-MIN(B5:E5)</f>
        <v>0</v>
      </c>
    </row>
    <row r="6" customFormat="false" ht="15" hidden="false" customHeight="false" outlineLevel="0" collapsed="false">
      <c r="A6" s="4" t="s">
        <v>147</v>
      </c>
      <c r="B6" s="8" t="n">
        <f aca="false">IFERROR(AVERAGEIF(Students!$K$3:$K$114,"5A",Students!$B$3:$B$114),0)</f>
        <v>499.25</v>
      </c>
      <c r="C6" s="8" t="n">
        <f aca="false">IFERROR(AVERAGEIF(Students!$K$3:$K$114,"5B",Students!$B$3:$B$114),0)</f>
        <v>499.321428571429</v>
      </c>
      <c r="D6" s="8" t="n">
        <f aca="false">IFERROR(AVERAGEIF(Students!$K$3:$K$114,"5C",Students!$B$3:$B$114),0)</f>
        <v>499.107142857143</v>
      </c>
      <c r="E6" s="8" t="n">
        <f aca="false">IFERROR(AVERAGEIF(Students!$K$3:$K$114,"5D",Students!$B$3:$B$114),0)</f>
        <v>499.214285714286</v>
      </c>
      <c r="F6" s="7" t="n">
        <f aca="false">MAX(B6:E6)-MIN(B6:E6)</f>
        <v>0.214285714285722</v>
      </c>
    </row>
    <row r="7" customFormat="false" ht="15" hidden="false" customHeight="false" outlineLevel="0" collapsed="false">
      <c r="A7" s="4" t="s">
        <v>148</v>
      </c>
      <c r="B7" s="8" t="n">
        <f aca="false">IFERROR(AVERAGEIF(Students!$K$3:$K$114,"5A",Students!$D$3:$D$114),0)</f>
        <v>502.928571428571</v>
      </c>
      <c r="C7" s="8" t="n">
        <f aca="false">IFERROR(AVERAGEIF(Students!$K$3:$K$114,"5B",Students!$D$3:$D$114),0)</f>
        <v>502.964285714286</v>
      </c>
      <c r="D7" s="8" t="n">
        <f aca="false">IFERROR(AVERAGEIF(Students!$K$3:$K$114,"5C",Students!$D$3:$D$114),0)</f>
        <v>503.892857142857</v>
      </c>
      <c r="E7" s="8" t="n">
        <f aca="false">IFERROR(AVERAGEIF(Students!$K$3:$K$114,"5D",Students!$D$3:$D$114),0)</f>
        <v>504.142857142857</v>
      </c>
      <c r="F7" s="7" t="n">
        <f aca="false">MAX(B7:E7)-MIN(B7:E7)</f>
        <v>1.21428571428572</v>
      </c>
    </row>
    <row r="8" customFormat="false" ht="15" hidden="false" customHeight="false" outlineLevel="0" collapsed="false">
      <c r="A8" s="4" t="s">
        <v>149</v>
      </c>
      <c r="B8" s="4" t="n">
        <f aca="false">COUNTIFS(Students!$K$3:$K$114,"5A",Students!$F$3:$F$114,"Girl")</f>
        <v>14</v>
      </c>
      <c r="C8" s="4" t="n">
        <f aca="false">COUNTIFS(Students!$K$3:$K$114,"5B",Students!$F$3:$F$114,"Girl")</f>
        <v>14</v>
      </c>
      <c r="D8" s="4" t="n">
        <f aca="false">COUNTIFS(Students!$K$3:$K$114,"5C",Students!$F$3:$F$114,"Girl")</f>
        <v>15</v>
      </c>
      <c r="E8" s="4" t="n">
        <f aca="false">COUNTIFS(Students!$K$3:$K$114,"5D",Students!$F$3:$F$114,"Girl")</f>
        <v>15</v>
      </c>
      <c r="F8" s="7" t="n">
        <f aca="false">MAX(B8:E8)-MIN(B8:E8)</f>
        <v>1</v>
      </c>
    </row>
    <row r="9" customFormat="false" ht="15" hidden="false" customHeight="false" outlineLevel="0" collapsed="false">
      <c r="A9" s="4" t="s">
        <v>150</v>
      </c>
      <c r="B9" s="4" t="n">
        <f aca="false">COUNTIFS(Students!$K$3:$K$114,"5A",Students!$F$3:$F$114,"Boy")</f>
        <v>14</v>
      </c>
      <c r="C9" s="4" t="n">
        <f aca="false">COUNTIFS(Students!$K$3:$K$114,"5B",Students!$F$3:$F$114,"Boy")</f>
        <v>14</v>
      </c>
      <c r="D9" s="4" t="n">
        <f aca="false">COUNTIFS(Students!$K$3:$K$114,"5C",Students!$F$3:$F$114,"Boy")</f>
        <v>13</v>
      </c>
      <c r="E9" s="4" t="n">
        <f aca="false">COUNTIFS(Students!$K$3:$K$114,"5D",Students!$F$3:$F$114,"Boy")</f>
        <v>13</v>
      </c>
      <c r="F9" s="7" t="n">
        <f aca="false">MAX(B9:E9)-MIN(B9:E9)</f>
        <v>1</v>
      </c>
    </row>
    <row r="10" customFormat="false" ht="15" hidden="false" customHeight="false" outlineLevel="0" collapsed="false">
      <c r="A10" s="4" t="s">
        <v>7</v>
      </c>
      <c r="B10" s="4" t="n">
        <f aca="false">COUNTIFS(Students!$K$3:$K$114,"5A",Students!$G$3:$G$114,"Yes")</f>
        <v>3</v>
      </c>
      <c r="C10" s="4" t="n">
        <f aca="false">COUNTIFS(Students!$K$3:$K$114,"5B",Students!$G$3:$G$114,"Yes")</f>
        <v>4</v>
      </c>
      <c r="D10" s="4" t="n">
        <f aca="false">COUNTIFS(Students!$K$3:$K$114,"5C",Students!$G$3:$G$114,"Yes")</f>
        <v>3</v>
      </c>
      <c r="E10" s="4" t="n">
        <f aca="false">COUNTIFS(Students!$K$3:$K$114,"5D",Students!$G$3:$G$114,"Yes")</f>
        <v>3</v>
      </c>
      <c r="F10" s="7" t="n">
        <f aca="false">MAX(B10:E10)-MIN(B10:E10)</f>
        <v>1</v>
      </c>
    </row>
    <row r="11" customFormat="false" ht="15" hidden="false" customHeight="false" outlineLevel="0" collapsed="false">
      <c r="A11" s="4" t="s">
        <v>8</v>
      </c>
      <c r="B11" s="4" t="n">
        <f aca="false">COUNTIFS(Students!$K$3:$K$114,"5A",Students!$H$3:$H$114,"Yes")</f>
        <v>2</v>
      </c>
      <c r="C11" s="4" t="n">
        <f aca="false">COUNTIFS(Students!$K$3:$K$114,"5B",Students!$H$3:$H$114,"Yes")</f>
        <v>2</v>
      </c>
      <c r="D11" s="4" t="n">
        <f aca="false">COUNTIFS(Students!$K$3:$K$114,"5C",Students!$H$3:$H$114,"Yes")</f>
        <v>2</v>
      </c>
      <c r="E11" s="4" t="n">
        <f aca="false">COUNTIFS(Students!$K$3:$K$114,"5D",Students!$H$3:$H$114,"Yes")</f>
        <v>2</v>
      </c>
      <c r="F11" s="7" t="n">
        <f aca="false">MAX(B11:E11)-MIN(B11:E11)</f>
        <v>0</v>
      </c>
    </row>
    <row r="12" customFormat="false" ht="15" hidden="false" customHeight="false" outlineLevel="0" collapsed="false">
      <c r="A12" s="4" t="s">
        <v>38</v>
      </c>
      <c r="B12" s="4" t="n">
        <f aca="false">COUNTIFS(Students!$K$3:$K$114,"5A",Students!$I$3:$I$114,"Black")</f>
        <v>6</v>
      </c>
      <c r="C12" s="4" t="n">
        <f aca="false">COUNTIFS(Students!$K$3:$K$114,"5B",Students!$I$3:$I$114,"Black")</f>
        <v>6</v>
      </c>
      <c r="D12" s="4" t="n">
        <f aca="false">COUNTIFS(Students!$K$3:$K$114,"5C",Students!$I$3:$I$114,"Black")</f>
        <v>6</v>
      </c>
      <c r="E12" s="4" t="n">
        <f aca="false">COUNTIFS(Students!$K$3:$K$114,"5D",Students!$I$3:$I$114,"Black")</f>
        <v>6</v>
      </c>
      <c r="F12" s="7" t="n">
        <f aca="false">MAX(B12:E12)-MIN(B12:E12)</f>
        <v>0</v>
      </c>
    </row>
    <row r="13" customFormat="false" ht="15" hidden="false" customHeight="false" outlineLevel="0" collapsed="false">
      <c r="A13" s="4" t="s">
        <v>18</v>
      </c>
      <c r="B13" s="4" t="n">
        <f aca="false">COUNTIFS(Students!$K$3:$K$114,"5A",Students!$I$3:$I$114,"Hispanic/Latino")</f>
        <v>13</v>
      </c>
      <c r="C13" s="4" t="n">
        <f aca="false">COUNTIFS(Students!$K$3:$K$114,"5B",Students!$I$3:$I$114,"Hispanic/Latino")</f>
        <v>13</v>
      </c>
      <c r="D13" s="4" t="n">
        <f aca="false">COUNTIFS(Students!$K$3:$K$114,"5C",Students!$I$3:$I$114,"Hispanic/Latino")</f>
        <v>13</v>
      </c>
      <c r="E13" s="4" t="n">
        <f aca="false">COUNTIFS(Students!$K$3:$K$114,"5D",Students!$I$3:$I$114,"Hispanic/Latino")</f>
        <v>13</v>
      </c>
      <c r="F13" s="7" t="n">
        <f aca="false">MAX(B13:E13)-MIN(B13:E13)</f>
        <v>0</v>
      </c>
    </row>
    <row r="14" customFormat="false" ht="15" hidden="false" customHeight="false" outlineLevel="0" collapsed="false">
      <c r="A14" s="4" t="s">
        <v>33</v>
      </c>
      <c r="B14" s="4" t="n">
        <f aca="false">COUNTIFS(Students!$K$3:$K$114,"5A",Students!$I$3:$I$114,"White")</f>
        <v>3</v>
      </c>
      <c r="C14" s="4" t="n">
        <f aca="false">COUNTIFS(Students!$K$3:$K$114,"5B",Students!$I$3:$I$114,"White")</f>
        <v>3</v>
      </c>
      <c r="D14" s="4" t="n">
        <f aca="false">COUNTIFS(Students!$K$3:$K$114,"5C",Students!$I$3:$I$114,"White")</f>
        <v>4</v>
      </c>
      <c r="E14" s="4" t="n">
        <f aca="false">COUNTIFS(Students!$K$3:$K$114,"5D",Students!$I$3:$I$114,"White")</f>
        <v>4</v>
      </c>
      <c r="F14" s="7" t="n">
        <f aca="false">MAX(B14:E14)-MIN(B14:E14)</f>
        <v>1</v>
      </c>
    </row>
    <row r="15" customFormat="false" ht="15" hidden="false" customHeight="false" outlineLevel="0" collapsed="false">
      <c r="A15" s="4" t="s">
        <v>29</v>
      </c>
      <c r="B15" s="4" t="n">
        <f aca="false">COUNTIFS(Students!$K$3:$K$114,"5A",Students!$I$3:$I$114,"Asian")</f>
        <v>6</v>
      </c>
      <c r="C15" s="4" t="n">
        <f aca="false">COUNTIFS(Students!$K$3:$K$114,"5B",Students!$I$3:$I$114,"Asian")</f>
        <v>6</v>
      </c>
      <c r="D15" s="4" t="n">
        <f aca="false">COUNTIFS(Students!$K$3:$K$114,"5C",Students!$I$3:$I$114,"Asian")</f>
        <v>5</v>
      </c>
      <c r="E15" s="4" t="n">
        <f aca="false">COUNTIFS(Students!$K$3:$K$114,"5D",Students!$I$3:$I$114,"Asian")</f>
        <v>5</v>
      </c>
      <c r="F15" s="7" t="n">
        <f aca="false">MAX(B15:E15)-MIN(B15:E15)</f>
        <v>1</v>
      </c>
    </row>
    <row r="16" customFormat="false" ht="15" hidden="false" customHeight="false" outlineLevel="0" collapsed="false">
      <c r="A16" s="4" t="s">
        <v>151</v>
      </c>
      <c r="B16" s="4" t="n">
        <f aca="false">COUNTIFS(Students!$K$3:$K$114,"5A",Students!$J$3:$J$114,"Yes")</f>
        <v>8</v>
      </c>
      <c r="C16" s="4" t="n">
        <f aca="false">COUNTIFS(Students!$K$3:$K$114,"5B",Students!$J$3:$J$114,"Yes")</f>
        <v>7</v>
      </c>
      <c r="D16" s="4" t="n">
        <f aca="false">COUNTIFS(Students!$K$3:$K$114,"5C",Students!$J$3:$J$114,"Yes")</f>
        <v>8</v>
      </c>
      <c r="E16" s="4" t="n">
        <f aca="false">COUNTIFS(Students!$K$3:$K$114,"5D",Students!$J$3:$J$114,"Yes")</f>
        <v>8</v>
      </c>
      <c r="F16" s="7" t="n">
        <f aca="false">MAX(B16:E16)-MIN(B16:E16)</f>
        <v>1</v>
      </c>
    </row>
    <row r="17" customFormat="false" ht="15" hidden="false" customHeight="false" outlineLevel="0" collapsed="false">
      <c r="A17" s="4" t="s">
        <v>152</v>
      </c>
      <c r="B17" s="4" t="n">
        <f aca="false">COUNTIFS(Students!$K$3:$K$114,"5A",Students!$J$3:$J$114,"No")</f>
        <v>20</v>
      </c>
      <c r="C17" s="4" t="n">
        <f aca="false">COUNTIFS(Students!$K$3:$K$114,"5B",Students!$J$3:$J$114,"No")</f>
        <v>21</v>
      </c>
      <c r="D17" s="4" t="n">
        <f aca="false">COUNTIFS(Students!$K$3:$K$114,"5C",Students!$J$3:$J$114,"No")</f>
        <v>20</v>
      </c>
      <c r="E17" s="4" t="n">
        <f aca="false">COUNTIFS(Students!$K$3:$K$114,"5D",Students!$J$3:$J$114,"No")</f>
        <v>20</v>
      </c>
      <c r="F17" s="7" t="n">
        <f aca="false">MAX(B17:E17)-MIN(B17:E17)</f>
        <v>1</v>
      </c>
    </row>
  </sheetData>
  <conditionalFormatting sqref="F5">
    <cfRule type="expression" priority="2" aboveAverage="0" equalAverage="0" bottom="0" percent="0" rank="0" text="" dxfId="4">
      <formula>F5&lt;=1</formula>
    </cfRule>
    <cfRule type="expression" priority="3" aboveAverage="0" equalAverage="0" bottom="0" percent="0" rank="0" text="" dxfId="5">
      <formula>F5&gt;1</formula>
    </cfRule>
  </conditionalFormatting>
  <conditionalFormatting sqref="F6">
    <cfRule type="expression" priority="4" aboveAverage="0" equalAverage="0" bottom="0" percent="0" rank="0" text="" dxfId="4">
      <formula>F6&lt;=10</formula>
    </cfRule>
    <cfRule type="expression" priority="5" aboveAverage="0" equalAverage="0" bottom="0" percent="0" rank="0" text="" dxfId="5">
      <formula>F6&gt;10</formula>
    </cfRule>
  </conditionalFormatting>
  <conditionalFormatting sqref="F7">
    <cfRule type="expression" priority="6" aboveAverage="0" equalAverage="0" bottom="0" percent="0" rank="0" text="" dxfId="4">
      <formula>F7&lt;=10</formula>
    </cfRule>
    <cfRule type="expression" priority="7" aboveAverage="0" equalAverage="0" bottom="0" percent="0" rank="0" text="" dxfId="5">
      <formula>F7&gt;10</formula>
    </cfRule>
  </conditionalFormatting>
  <conditionalFormatting sqref="F8">
    <cfRule type="expression" priority="8" aboveAverage="0" equalAverage="0" bottom="0" percent="0" rank="0" text="" dxfId="4">
      <formula>F8&lt;=1</formula>
    </cfRule>
    <cfRule type="expression" priority="9" aboveAverage="0" equalAverage="0" bottom="0" percent="0" rank="0" text="" dxfId="5">
      <formula>F8&gt;1</formula>
    </cfRule>
  </conditionalFormatting>
  <conditionalFormatting sqref="F9">
    <cfRule type="expression" priority="10" aboveAverage="0" equalAverage="0" bottom="0" percent="0" rank="0" text="" dxfId="4">
      <formula>F9&lt;=1</formula>
    </cfRule>
    <cfRule type="expression" priority="11" aboveAverage="0" equalAverage="0" bottom="0" percent="0" rank="0" text="" dxfId="5">
      <formula>F9&gt;1</formula>
    </cfRule>
  </conditionalFormatting>
  <conditionalFormatting sqref="F10">
    <cfRule type="expression" priority="12" aboveAverage="0" equalAverage="0" bottom="0" percent="0" rank="0" text="" dxfId="4">
      <formula>F10&lt;=1</formula>
    </cfRule>
    <cfRule type="expression" priority="13" aboveAverage="0" equalAverage="0" bottom="0" percent="0" rank="0" text="" dxfId="5">
      <formula>F10&gt;1</formula>
    </cfRule>
  </conditionalFormatting>
  <conditionalFormatting sqref="F11">
    <cfRule type="expression" priority="14" aboveAverage="0" equalAverage="0" bottom="0" percent="0" rank="0" text="" dxfId="4">
      <formula>F11&lt;=1</formula>
    </cfRule>
    <cfRule type="expression" priority="15" aboveAverage="0" equalAverage="0" bottom="0" percent="0" rank="0" text="" dxfId="5">
      <formula>F11&gt;1</formula>
    </cfRule>
  </conditionalFormatting>
  <conditionalFormatting sqref="F12">
    <cfRule type="expression" priority="16" aboveAverage="0" equalAverage="0" bottom="0" percent="0" rank="0" text="" dxfId="4">
      <formula>F12&lt;=1</formula>
    </cfRule>
    <cfRule type="expression" priority="17" aboveAverage="0" equalAverage="0" bottom="0" percent="0" rank="0" text="" dxfId="5">
      <formula>F12&gt;1</formula>
    </cfRule>
  </conditionalFormatting>
  <conditionalFormatting sqref="F13">
    <cfRule type="expression" priority="18" aboveAverage="0" equalAverage="0" bottom="0" percent="0" rank="0" text="" dxfId="4">
      <formula>F13&lt;=1</formula>
    </cfRule>
    <cfRule type="expression" priority="19" aboveAverage="0" equalAverage="0" bottom="0" percent="0" rank="0" text="" dxfId="5">
      <formula>F13&gt;1</formula>
    </cfRule>
  </conditionalFormatting>
  <conditionalFormatting sqref="F14">
    <cfRule type="expression" priority="20" aboveAverage="0" equalAverage="0" bottom="0" percent="0" rank="0" text="" dxfId="4">
      <formula>F14&lt;=1</formula>
    </cfRule>
    <cfRule type="expression" priority="21" aboveAverage="0" equalAverage="0" bottom="0" percent="0" rank="0" text="" dxfId="5">
      <formula>F14&gt;1</formula>
    </cfRule>
  </conditionalFormatting>
  <conditionalFormatting sqref="F15">
    <cfRule type="expression" priority="22" aboveAverage="0" equalAverage="0" bottom="0" percent="0" rank="0" text="" dxfId="4">
      <formula>F15&lt;=1</formula>
    </cfRule>
    <cfRule type="expression" priority="23" aboveAverage="0" equalAverage="0" bottom="0" percent="0" rank="0" text="" dxfId="5">
      <formula>F15&gt;1</formula>
    </cfRule>
  </conditionalFormatting>
  <conditionalFormatting sqref="F16">
    <cfRule type="expression" priority="24" aboveAverage="0" equalAverage="0" bottom="0" percent="0" rank="0" text="" dxfId="4">
      <formula>F16&lt;=1</formula>
    </cfRule>
    <cfRule type="expression" priority="25" aboveAverage="0" equalAverage="0" bottom="0" percent="0" rank="0" text="" dxfId="5">
      <formula>F16&gt;1</formula>
    </cfRule>
  </conditionalFormatting>
  <conditionalFormatting sqref="F17">
    <cfRule type="expression" priority="26" aboveAverage="0" equalAverage="0" bottom="0" percent="0" rank="0" text="" dxfId="4">
      <formula>F17&lt;=1</formula>
    </cfRule>
    <cfRule type="expression" priority="27" aboveAverage="0" equalAverage="0" bottom="0" percent="0" rank="0" text="" dxfId="5">
      <formula>F17&gt;1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6" t="s">
        <v>153</v>
      </c>
      <c r="B1" s="2"/>
      <c r="C1" s="2"/>
      <c r="D1" s="2"/>
      <c r="E1" s="2"/>
      <c r="F1" s="2"/>
    </row>
    <row r="2" customFormat="false" ht="33.75" hidden="false" customHeight="true" outlineLevel="0" collapsed="false">
      <c r="A2" s="3" t="s">
        <v>154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customFormat="false" ht="15" hidden="false" customHeight="false" outlineLevel="0" collapsed="false">
      <c r="A3" s="4" t="n">
        <v>1</v>
      </c>
      <c r="B3" s="4" t="str">
        <f aca="false">IFERROR(INDEX(Students!$A$3:$A$114,MATCH(1,INDEX((Students!$K$3:$K$114="5A")*(Students!$L$3:$L$114=1),0),0)),"")</f>
        <v>S-001</v>
      </c>
      <c r="C3" s="4" t="n">
        <f aca="false">IFERROR(INDEX(Students!$B$3:$B$114,MATCH(1,INDEX((Students!$K$3:$K$114="5A")*(Students!$L$3:$L$114=1),0),0)),"")</f>
        <v>542</v>
      </c>
      <c r="D3" s="4" t="str">
        <f aca="false">IFERROR(INDEX(Students!$C$3:$C$114,MATCH(1,INDEX((Students!$K$3:$K$114="5A")*(Students!$L$3:$L$114=1),0),0)),"")</f>
        <v>Grade 5</v>
      </c>
      <c r="E3" s="4" t="n">
        <f aca="false">IFERROR(INDEX(Students!$D$3:$D$114,MATCH(1,INDEX((Students!$K$3:$K$114="5A")*(Students!$L$3:$L$114=1),0),0)),"")</f>
        <v>474</v>
      </c>
      <c r="F3" s="4" t="str">
        <f aca="false">IFERROR(INDEX(Students!$E$3:$E$114,MATCH(1,INDEX((Students!$K$3:$K$114="5A")*(Students!$L$3:$L$114=1),0),0)),"")</f>
        <v>Grade 3</v>
      </c>
    </row>
    <row r="4" customFormat="false" ht="15" hidden="false" customHeight="false" outlineLevel="0" collapsed="false">
      <c r="A4" s="4" t="n">
        <v>2</v>
      </c>
      <c r="B4" s="4" t="str">
        <f aca="false">IFERROR(INDEX(Students!$A$3:$A$114,MATCH(1,INDEX((Students!$K$3:$K$114="5A")*(Students!$L$3:$L$114=2),0),0)),"")</f>
        <v>S-002</v>
      </c>
      <c r="C4" s="4" t="n">
        <f aca="false">IFERROR(INDEX(Students!$B$3:$B$114,MATCH(1,INDEX((Students!$K$3:$K$114="5A")*(Students!$L$3:$L$114=2),0),0)),"")</f>
        <v>537</v>
      </c>
      <c r="D4" s="4" t="str">
        <f aca="false">IFERROR(INDEX(Students!$C$3:$C$114,MATCH(1,INDEX((Students!$K$3:$K$114="5A")*(Students!$L$3:$L$114=2),0),0)),"")</f>
        <v>Grade 5</v>
      </c>
      <c r="E4" s="4" t="n">
        <f aca="false">IFERROR(INDEX(Students!$D$3:$D$114,MATCH(1,INDEX((Students!$K$3:$K$114="5A")*(Students!$L$3:$L$114=2),0),0)),"")</f>
        <v>473</v>
      </c>
      <c r="F4" s="4" t="str">
        <f aca="false">IFERROR(INDEX(Students!$E$3:$E$114,MATCH(1,INDEX((Students!$K$3:$K$114="5A")*(Students!$L$3:$L$114=2),0),0)),"")</f>
        <v>Grade 3</v>
      </c>
    </row>
    <row r="5" customFormat="false" ht="15" hidden="false" customHeight="false" outlineLevel="0" collapsed="false">
      <c r="A5" s="4" t="n">
        <v>3</v>
      </c>
      <c r="B5" s="4" t="str">
        <f aca="false">IFERROR(INDEX(Students!$A$3:$A$114,MATCH(1,INDEX((Students!$K$3:$K$114="5A")*(Students!$L$3:$L$114=3),0),0)),"")</f>
        <v>S-003</v>
      </c>
      <c r="C5" s="4" t="n">
        <f aca="false">IFERROR(INDEX(Students!$B$3:$B$114,MATCH(1,INDEX((Students!$K$3:$K$114="5A")*(Students!$L$3:$L$114=3),0),0)),"")</f>
        <v>536</v>
      </c>
      <c r="D5" s="4" t="str">
        <f aca="false">IFERROR(INDEX(Students!$C$3:$C$114,MATCH(1,INDEX((Students!$K$3:$K$114="5A")*(Students!$L$3:$L$114=3),0),0)),"")</f>
        <v>Grade 5</v>
      </c>
      <c r="E5" s="4" t="n">
        <f aca="false">IFERROR(INDEX(Students!$D$3:$D$114,MATCH(1,INDEX((Students!$K$3:$K$114="5A")*(Students!$L$3:$L$114=3),0),0)),"")</f>
        <v>490</v>
      </c>
      <c r="F5" s="4" t="str">
        <f aca="false">IFERROR(INDEX(Students!$E$3:$E$114,MATCH(1,INDEX((Students!$K$3:$K$114="5A")*(Students!$L$3:$L$114=3),0),0)),"")</f>
        <v>Grade 3</v>
      </c>
    </row>
    <row r="6" customFormat="false" ht="15" hidden="false" customHeight="false" outlineLevel="0" collapsed="false">
      <c r="A6" s="4" t="n">
        <v>4</v>
      </c>
      <c r="B6" s="4" t="str">
        <f aca="false">IFERROR(INDEX(Students!$A$3:$A$114,MATCH(1,INDEX((Students!$K$3:$K$114="5A")*(Students!$L$3:$L$114=4),0),0)),"")</f>
        <v>S-006</v>
      </c>
      <c r="C6" s="4" t="n">
        <f aca="false">IFERROR(INDEX(Students!$B$3:$B$114,MATCH(1,INDEX((Students!$K$3:$K$114="5A")*(Students!$L$3:$L$114=4),0),0)),"")</f>
        <v>549</v>
      </c>
      <c r="D6" s="4" t="str">
        <f aca="false">IFERROR(INDEX(Students!$C$3:$C$114,MATCH(1,INDEX((Students!$K$3:$K$114="5A")*(Students!$L$3:$L$114=4),0),0)),"")</f>
        <v>Grade 5</v>
      </c>
      <c r="E6" s="4" t="n">
        <f aca="false">IFERROR(INDEX(Students!$D$3:$D$114,MATCH(1,INDEX((Students!$K$3:$K$114="5A")*(Students!$L$3:$L$114=4),0),0)),"")</f>
        <v>516</v>
      </c>
      <c r="F6" s="4" t="str">
        <f aca="false">IFERROR(INDEX(Students!$E$3:$E$114,MATCH(1,INDEX((Students!$K$3:$K$114="5A")*(Students!$L$3:$L$114=4),0),0)),"")</f>
        <v>Grade 4</v>
      </c>
    </row>
    <row r="7" customFormat="false" ht="15" hidden="false" customHeight="false" outlineLevel="0" collapsed="false">
      <c r="A7" s="4" t="n">
        <v>5</v>
      </c>
      <c r="B7" s="4" t="str">
        <f aca="false">IFERROR(INDEX(Students!$A$3:$A$114,MATCH(1,INDEX((Students!$K$3:$K$114="5A")*(Students!$L$3:$L$114=5),0),0)),"")</f>
        <v>S-009</v>
      </c>
      <c r="C7" s="4" t="n">
        <f aca="false">IFERROR(INDEX(Students!$B$3:$B$114,MATCH(1,INDEX((Students!$K$3:$K$114="5A")*(Students!$L$3:$L$114=5),0),0)),"")</f>
        <v>477</v>
      </c>
      <c r="D7" s="4" t="str">
        <f aca="false">IFERROR(INDEX(Students!$C$3:$C$114,MATCH(1,INDEX((Students!$K$3:$K$114="5A")*(Students!$L$3:$L$114=5),0),0)),"")</f>
        <v>Grade 3</v>
      </c>
      <c r="E7" s="4" t="n">
        <f aca="false">IFERROR(INDEX(Students!$D$3:$D$114,MATCH(1,INDEX((Students!$K$3:$K$114="5A")*(Students!$L$3:$L$114=5),0),0)),"")</f>
        <v>547</v>
      </c>
      <c r="F7" s="4" t="str">
        <f aca="false">IFERROR(INDEX(Students!$E$3:$E$114,MATCH(1,INDEX((Students!$K$3:$K$114="5A")*(Students!$L$3:$L$114=5),0),0)),"")</f>
        <v>Grade 5</v>
      </c>
    </row>
    <row r="8" customFormat="false" ht="15" hidden="false" customHeight="false" outlineLevel="0" collapsed="false">
      <c r="A8" s="4" t="n">
        <v>6</v>
      </c>
      <c r="B8" s="4" t="str">
        <f aca="false">IFERROR(INDEX(Students!$A$3:$A$114,MATCH(1,INDEX((Students!$K$3:$K$114="5A")*(Students!$L$3:$L$114=6),0),0)),"")</f>
        <v>S-027</v>
      </c>
      <c r="C8" s="4" t="n">
        <f aca="false">IFERROR(INDEX(Students!$B$3:$B$114,MATCH(1,INDEX((Students!$K$3:$K$114="5A")*(Students!$L$3:$L$114=6),0),0)),"")</f>
        <v>491</v>
      </c>
      <c r="D8" s="4" t="str">
        <f aca="false">IFERROR(INDEX(Students!$C$3:$C$114,MATCH(1,INDEX((Students!$K$3:$K$114="5A")*(Students!$L$3:$L$114=6),0),0)),"")</f>
        <v>Grade 3</v>
      </c>
      <c r="E8" s="4" t="n">
        <f aca="false">IFERROR(INDEX(Students!$D$3:$D$114,MATCH(1,INDEX((Students!$K$3:$K$114="5A")*(Students!$L$3:$L$114=6),0),0)),"")</f>
        <v>563</v>
      </c>
      <c r="F8" s="4" t="str">
        <f aca="false">IFERROR(INDEX(Students!$E$3:$E$114,MATCH(1,INDEX((Students!$K$3:$K$114="5A")*(Students!$L$3:$L$114=6),0),0)),"")</f>
        <v>Grade 5</v>
      </c>
    </row>
    <row r="9" customFormat="false" ht="15" hidden="false" customHeight="false" outlineLevel="0" collapsed="false">
      <c r="A9" s="4" t="n">
        <v>7</v>
      </c>
      <c r="B9" s="4" t="str">
        <f aca="false">IFERROR(INDEX(Students!$A$3:$A$114,MATCH(1,INDEX((Students!$K$3:$K$114="5A")*(Students!$L$3:$L$114=7),0),0)),"")</f>
        <v>S-028</v>
      </c>
      <c r="C9" s="4" t="n">
        <f aca="false">IFERROR(INDEX(Students!$B$3:$B$114,MATCH(1,INDEX((Students!$K$3:$K$114="5A")*(Students!$L$3:$L$114=7),0),0)),"")</f>
        <v>465</v>
      </c>
      <c r="D9" s="4" t="str">
        <f aca="false">IFERROR(INDEX(Students!$C$3:$C$114,MATCH(1,INDEX((Students!$K$3:$K$114="5A")*(Students!$L$3:$L$114=7),0),0)),"")</f>
        <v>Grade 3</v>
      </c>
      <c r="E9" s="4" t="n">
        <f aca="false">IFERROR(INDEX(Students!$D$3:$D$114,MATCH(1,INDEX((Students!$K$3:$K$114="5A")*(Students!$L$3:$L$114=7),0),0)),"")</f>
        <v>451</v>
      </c>
      <c r="F9" s="4" t="str">
        <f aca="false">IFERROR(INDEX(Students!$E$3:$E$114,MATCH(1,INDEX((Students!$K$3:$K$114="5A")*(Students!$L$3:$L$114=7),0),0)),"")</f>
        <v>Grade 2</v>
      </c>
    </row>
    <row r="10" customFormat="false" ht="15" hidden="false" customHeight="false" outlineLevel="0" collapsed="false">
      <c r="A10" s="4" t="n">
        <v>8</v>
      </c>
      <c r="B10" s="4" t="str">
        <f aca="false">IFERROR(INDEX(Students!$A$3:$A$114,MATCH(1,INDEX((Students!$K$3:$K$114="5A")*(Students!$L$3:$L$114=8),0),0)),"")</f>
        <v>S-029</v>
      </c>
      <c r="C10" s="4" t="n">
        <f aca="false">IFERROR(INDEX(Students!$B$3:$B$114,MATCH(1,INDEX((Students!$K$3:$K$114="5A")*(Students!$L$3:$L$114=8),0),0)),"")</f>
        <v>520</v>
      </c>
      <c r="D10" s="4" t="str">
        <f aca="false">IFERROR(INDEX(Students!$C$3:$C$114,MATCH(1,INDEX((Students!$K$3:$K$114="5A")*(Students!$L$3:$L$114=8),0),0)),"")</f>
        <v>Grade 4</v>
      </c>
      <c r="E10" s="4" t="n">
        <f aca="false">IFERROR(INDEX(Students!$D$3:$D$114,MATCH(1,INDEX((Students!$K$3:$K$114="5A")*(Students!$L$3:$L$114=8),0),0)),"")</f>
        <v>477</v>
      </c>
      <c r="F10" s="4" t="str">
        <f aca="false">IFERROR(INDEX(Students!$E$3:$E$114,MATCH(1,INDEX((Students!$K$3:$K$114="5A")*(Students!$L$3:$L$114=8),0),0)),"")</f>
        <v>Grade 3</v>
      </c>
    </row>
    <row r="11" customFormat="false" ht="15" hidden="false" customHeight="false" outlineLevel="0" collapsed="false">
      <c r="A11" s="4" t="n">
        <v>9</v>
      </c>
      <c r="B11" s="4" t="str">
        <f aca="false">IFERROR(INDEX(Students!$A$3:$A$114,MATCH(1,INDEX((Students!$K$3:$K$114="5A")*(Students!$L$3:$L$114=9),0),0)),"")</f>
        <v>S-030</v>
      </c>
      <c r="C11" s="4" t="n">
        <f aca="false">IFERROR(INDEX(Students!$B$3:$B$114,MATCH(1,INDEX((Students!$K$3:$K$114="5A")*(Students!$L$3:$L$114=9),0),0)),"")</f>
        <v>456</v>
      </c>
      <c r="D11" s="4" t="str">
        <f aca="false">IFERROR(INDEX(Students!$C$3:$C$114,MATCH(1,INDEX((Students!$K$3:$K$114="5A")*(Students!$L$3:$L$114=9),0),0)),"")</f>
        <v>Grade 2</v>
      </c>
      <c r="E11" s="4" t="n">
        <f aca="false">IFERROR(INDEX(Students!$D$3:$D$114,MATCH(1,INDEX((Students!$K$3:$K$114="5A")*(Students!$L$3:$L$114=9),0),0)),"")</f>
        <v>525</v>
      </c>
      <c r="F11" s="4" t="str">
        <f aca="false">IFERROR(INDEX(Students!$E$3:$E$114,MATCH(1,INDEX((Students!$K$3:$K$114="5A")*(Students!$L$3:$L$114=9),0),0)),"")</f>
        <v>Grade 4</v>
      </c>
    </row>
    <row r="12" customFormat="false" ht="15" hidden="false" customHeight="false" outlineLevel="0" collapsed="false">
      <c r="A12" s="4" t="n">
        <v>10</v>
      </c>
      <c r="B12" s="4" t="str">
        <f aca="false">IFERROR(INDEX(Students!$A$3:$A$114,MATCH(1,INDEX((Students!$K$3:$K$114="5A")*(Students!$L$3:$L$114=10),0),0)),"")</f>
        <v>S-032</v>
      </c>
      <c r="C12" s="4" t="n">
        <f aca="false">IFERROR(INDEX(Students!$B$3:$B$114,MATCH(1,INDEX((Students!$K$3:$K$114="5A")*(Students!$L$3:$L$114=10),0),0)),"")</f>
        <v>438</v>
      </c>
      <c r="D12" s="4" t="str">
        <f aca="false">IFERROR(INDEX(Students!$C$3:$C$114,MATCH(1,INDEX((Students!$K$3:$K$114="5A")*(Students!$L$3:$L$114=10),0),0)),"")</f>
        <v>Grade 2</v>
      </c>
      <c r="E12" s="4" t="n">
        <f aca="false">IFERROR(INDEX(Students!$D$3:$D$114,MATCH(1,INDEX((Students!$K$3:$K$114="5A")*(Students!$L$3:$L$114=10),0),0)),"")</f>
        <v>494</v>
      </c>
      <c r="F12" s="4" t="str">
        <f aca="false">IFERROR(INDEX(Students!$E$3:$E$114,MATCH(1,INDEX((Students!$K$3:$K$114="5A")*(Students!$L$3:$L$114=10),0),0)),"")</f>
        <v>Grade 3</v>
      </c>
    </row>
    <row r="13" customFormat="false" ht="15" hidden="false" customHeight="false" outlineLevel="0" collapsed="false">
      <c r="A13" s="4" t="n">
        <v>11</v>
      </c>
      <c r="B13" s="4" t="str">
        <f aca="false">IFERROR(INDEX(Students!$A$3:$A$114,MATCH(1,INDEX((Students!$K$3:$K$114="5A")*(Students!$L$3:$L$114=11),0),0)),"")</f>
        <v>S-037</v>
      </c>
      <c r="C13" s="4" t="n">
        <f aca="false">IFERROR(INDEX(Students!$B$3:$B$114,MATCH(1,INDEX((Students!$K$3:$K$114="5A")*(Students!$L$3:$L$114=11),0),0)),"")</f>
        <v>567</v>
      </c>
      <c r="D13" s="4" t="str">
        <f aca="false">IFERROR(INDEX(Students!$C$3:$C$114,MATCH(1,INDEX((Students!$K$3:$K$114="5A")*(Students!$L$3:$L$114=11),0),0)),"")</f>
        <v>Grade 5</v>
      </c>
      <c r="E13" s="4" t="n">
        <f aca="false">IFERROR(INDEX(Students!$D$3:$D$114,MATCH(1,INDEX((Students!$K$3:$K$114="5A")*(Students!$L$3:$L$114=11),0),0)),"")</f>
        <v>476</v>
      </c>
      <c r="F13" s="4" t="str">
        <f aca="false">IFERROR(INDEX(Students!$E$3:$E$114,MATCH(1,INDEX((Students!$K$3:$K$114="5A")*(Students!$L$3:$L$114=11),0),0)),"")</f>
        <v>Grade 3</v>
      </c>
    </row>
    <row r="14" customFormat="false" ht="15" hidden="false" customHeight="false" outlineLevel="0" collapsed="false">
      <c r="A14" s="4" t="n">
        <v>12</v>
      </c>
      <c r="B14" s="4" t="str">
        <f aca="false">IFERROR(INDEX(Students!$A$3:$A$114,MATCH(1,INDEX((Students!$K$3:$K$114="5A")*(Students!$L$3:$L$114=12),0),0)),"")</f>
        <v>S-038</v>
      </c>
      <c r="C14" s="4" t="n">
        <f aca="false">IFERROR(INDEX(Students!$B$3:$B$114,MATCH(1,INDEX((Students!$K$3:$K$114="5A")*(Students!$L$3:$L$114=12),0),0)),"")</f>
        <v>538</v>
      </c>
      <c r="D14" s="4" t="str">
        <f aca="false">IFERROR(INDEX(Students!$C$3:$C$114,MATCH(1,INDEX((Students!$K$3:$K$114="5A")*(Students!$L$3:$L$114=12),0),0)),"")</f>
        <v>Grade 4</v>
      </c>
      <c r="E14" s="4" t="n">
        <f aca="false">IFERROR(INDEX(Students!$D$3:$D$114,MATCH(1,INDEX((Students!$K$3:$K$114="5A")*(Students!$L$3:$L$114=12),0),0)),"")</f>
        <v>411</v>
      </c>
      <c r="F14" s="4" t="str">
        <f aca="false">IFERROR(INDEX(Students!$E$3:$E$114,MATCH(1,INDEX((Students!$K$3:$K$114="5A")*(Students!$L$3:$L$114=12),0),0)),"")</f>
        <v>Grade 1</v>
      </c>
    </row>
    <row r="15" customFormat="false" ht="15" hidden="false" customHeight="false" outlineLevel="0" collapsed="false">
      <c r="A15" s="4" t="n">
        <v>13</v>
      </c>
      <c r="B15" s="4" t="str">
        <f aca="false">IFERROR(INDEX(Students!$A$3:$A$114,MATCH(1,INDEX((Students!$K$3:$K$114="5A")*(Students!$L$3:$L$114=13),0),0)),"")</f>
        <v>S-039</v>
      </c>
      <c r="C15" s="4" t="n">
        <f aca="false">IFERROR(INDEX(Students!$B$3:$B$114,MATCH(1,INDEX((Students!$K$3:$K$114="5A")*(Students!$L$3:$L$114=13),0),0)),"")</f>
        <v>404</v>
      </c>
      <c r="D15" s="4" t="str">
        <f aca="false">IFERROR(INDEX(Students!$C$3:$C$114,MATCH(1,INDEX((Students!$K$3:$K$114="5A")*(Students!$L$3:$L$114=13),0),0)),"")</f>
        <v>Grade 1</v>
      </c>
      <c r="E15" s="4" t="n">
        <f aca="false">IFERROR(INDEX(Students!$D$3:$D$114,MATCH(1,INDEX((Students!$K$3:$K$114="5A")*(Students!$L$3:$L$114=13),0),0)),"")</f>
        <v>511</v>
      </c>
      <c r="F15" s="4" t="str">
        <f aca="false">IFERROR(INDEX(Students!$E$3:$E$114,MATCH(1,INDEX((Students!$K$3:$K$114="5A")*(Students!$L$3:$L$114=13),0),0)),"")</f>
        <v>Grade 4</v>
      </c>
    </row>
    <row r="16" customFormat="false" ht="15" hidden="false" customHeight="false" outlineLevel="0" collapsed="false">
      <c r="A16" s="4" t="n">
        <v>14</v>
      </c>
      <c r="B16" s="4" t="str">
        <f aca="false">IFERROR(INDEX(Students!$A$3:$A$114,MATCH(1,INDEX((Students!$K$3:$K$114="5A")*(Students!$L$3:$L$114=14),0),0)),"")</f>
        <v>S-045</v>
      </c>
      <c r="C16" s="4" t="n">
        <f aca="false">IFERROR(INDEX(Students!$B$3:$B$114,MATCH(1,INDEX((Students!$K$3:$K$114="5A")*(Students!$L$3:$L$114=14),0),0)),"")</f>
        <v>471</v>
      </c>
      <c r="D16" s="4" t="str">
        <f aca="false">IFERROR(INDEX(Students!$C$3:$C$114,MATCH(1,INDEX((Students!$K$3:$K$114="5A")*(Students!$L$3:$L$114=14),0),0)),"")</f>
        <v>Grade 3</v>
      </c>
      <c r="E16" s="4" t="n">
        <f aca="false">IFERROR(INDEX(Students!$D$3:$D$114,MATCH(1,INDEX((Students!$K$3:$K$114="5A")*(Students!$L$3:$L$114=14),0),0)),"")</f>
        <v>515</v>
      </c>
      <c r="F16" s="4" t="str">
        <f aca="false">IFERROR(INDEX(Students!$E$3:$E$114,MATCH(1,INDEX((Students!$K$3:$K$114="5A")*(Students!$L$3:$L$114=14),0),0)),"")</f>
        <v>Grade 4</v>
      </c>
    </row>
    <row r="17" customFormat="false" ht="15" hidden="false" customHeight="false" outlineLevel="0" collapsed="false">
      <c r="A17" s="4" t="n">
        <v>15</v>
      </c>
      <c r="B17" s="4" t="str">
        <f aca="false">IFERROR(INDEX(Students!$A$3:$A$114,MATCH(1,INDEX((Students!$K$3:$K$114="5A")*(Students!$L$3:$L$114=15),0),0)),"")</f>
        <v>S-048</v>
      </c>
      <c r="C17" s="4" t="n">
        <f aca="false">IFERROR(INDEX(Students!$B$3:$B$114,MATCH(1,INDEX((Students!$K$3:$K$114="5A")*(Students!$L$3:$L$114=15),0),0)),"")</f>
        <v>514</v>
      </c>
      <c r="D17" s="4" t="str">
        <f aca="false">IFERROR(INDEX(Students!$C$3:$C$114,MATCH(1,INDEX((Students!$K$3:$K$114="5A")*(Students!$L$3:$L$114=15),0),0)),"")</f>
        <v>Grade 4</v>
      </c>
      <c r="E17" s="4" t="n">
        <f aca="false">IFERROR(INDEX(Students!$D$3:$D$114,MATCH(1,INDEX((Students!$K$3:$K$114="5A")*(Students!$L$3:$L$114=15),0),0)),"")</f>
        <v>557</v>
      </c>
      <c r="F17" s="4" t="str">
        <f aca="false">IFERROR(INDEX(Students!$E$3:$E$114,MATCH(1,INDEX((Students!$K$3:$K$114="5A")*(Students!$L$3:$L$114=15),0),0)),"")</f>
        <v>Grade 5</v>
      </c>
    </row>
    <row r="18" customFormat="false" ht="15" hidden="false" customHeight="false" outlineLevel="0" collapsed="false">
      <c r="A18" s="4" t="n">
        <v>16</v>
      </c>
      <c r="B18" s="4" t="str">
        <f aca="false">IFERROR(INDEX(Students!$A$3:$A$114,MATCH(1,INDEX((Students!$K$3:$K$114="5A")*(Students!$L$3:$L$114=16),0),0)),"")</f>
        <v>S-058</v>
      </c>
      <c r="C18" s="4" t="n">
        <f aca="false">IFERROR(INDEX(Students!$B$3:$B$114,MATCH(1,INDEX((Students!$K$3:$K$114="5A")*(Students!$L$3:$L$114=16),0),0)),"")</f>
        <v>542</v>
      </c>
      <c r="D18" s="4" t="str">
        <f aca="false">IFERROR(INDEX(Students!$C$3:$C$114,MATCH(1,INDEX((Students!$K$3:$K$114="5A")*(Students!$L$3:$L$114=16),0),0)),"")</f>
        <v>Grade 5</v>
      </c>
      <c r="E18" s="4" t="n">
        <f aca="false">IFERROR(INDEX(Students!$D$3:$D$114,MATCH(1,INDEX((Students!$K$3:$K$114="5A")*(Students!$L$3:$L$114=16),0),0)),"")</f>
        <v>453</v>
      </c>
      <c r="F18" s="4" t="str">
        <f aca="false">IFERROR(INDEX(Students!$E$3:$E$114,MATCH(1,INDEX((Students!$K$3:$K$114="5A")*(Students!$L$3:$L$114=16),0),0)),"")</f>
        <v>Grade 2</v>
      </c>
    </row>
    <row r="19" customFormat="false" ht="15" hidden="false" customHeight="false" outlineLevel="0" collapsed="false">
      <c r="A19" s="4" t="n">
        <v>17</v>
      </c>
      <c r="B19" s="4" t="str">
        <f aca="false">IFERROR(INDEX(Students!$A$3:$A$114,MATCH(1,INDEX((Students!$K$3:$K$114="5A")*(Students!$L$3:$L$114=17),0),0)),"")</f>
        <v>S-060</v>
      </c>
      <c r="C19" s="4" t="n">
        <f aca="false">IFERROR(INDEX(Students!$B$3:$B$114,MATCH(1,INDEX((Students!$K$3:$K$114="5A")*(Students!$L$3:$L$114=17),0),0)),"")</f>
        <v>522</v>
      </c>
      <c r="D19" s="4" t="str">
        <f aca="false">IFERROR(INDEX(Students!$C$3:$C$114,MATCH(1,INDEX((Students!$K$3:$K$114="5A")*(Students!$L$3:$L$114=17),0),0)),"")</f>
        <v>Grade 4</v>
      </c>
      <c r="E19" s="4" t="n">
        <f aca="false">IFERROR(INDEX(Students!$D$3:$D$114,MATCH(1,INDEX((Students!$K$3:$K$114="5A")*(Students!$L$3:$L$114=17),0),0)),"")</f>
        <v>433</v>
      </c>
      <c r="F19" s="4" t="str">
        <f aca="false">IFERROR(INDEX(Students!$E$3:$E$114,MATCH(1,INDEX((Students!$K$3:$K$114="5A")*(Students!$L$3:$L$114=17),0),0)),"")</f>
        <v>Grade 1</v>
      </c>
    </row>
    <row r="20" customFormat="false" ht="15" hidden="false" customHeight="false" outlineLevel="0" collapsed="false">
      <c r="A20" s="4" t="n">
        <v>18</v>
      </c>
      <c r="B20" s="4" t="str">
        <f aca="false">IFERROR(INDEX(Students!$A$3:$A$114,MATCH(1,INDEX((Students!$K$3:$K$114="5A")*(Students!$L$3:$L$114=18),0),0)),"")</f>
        <v>S-061</v>
      </c>
      <c r="C20" s="4" t="n">
        <f aca="false">IFERROR(INDEX(Students!$B$3:$B$114,MATCH(1,INDEX((Students!$K$3:$K$114="5A")*(Students!$L$3:$L$114=18),0),0)),"")</f>
        <v>507</v>
      </c>
      <c r="D20" s="4" t="str">
        <f aca="false">IFERROR(INDEX(Students!$C$3:$C$114,MATCH(1,INDEX((Students!$K$3:$K$114="5A")*(Students!$L$3:$L$114=18),0),0)),"")</f>
        <v>Grade 4</v>
      </c>
      <c r="E20" s="4" t="n">
        <f aca="false">IFERROR(INDEX(Students!$D$3:$D$114,MATCH(1,INDEX((Students!$K$3:$K$114="5A")*(Students!$L$3:$L$114=18),0),0)),"")</f>
        <v>490</v>
      </c>
      <c r="F20" s="4" t="str">
        <f aca="false">IFERROR(INDEX(Students!$E$3:$E$114,MATCH(1,INDEX((Students!$K$3:$K$114="5A")*(Students!$L$3:$L$114=18),0),0)),"")</f>
        <v>Grade 3</v>
      </c>
    </row>
    <row r="21" customFormat="false" ht="15" hidden="false" customHeight="false" outlineLevel="0" collapsed="false">
      <c r="A21" s="4" t="n">
        <v>19</v>
      </c>
      <c r="B21" s="4" t="str">
        <f aca="false">IFERROR(INDEX(Students!$A$3:$A$114,MATCH(1,INDEX((Students!$K$3:$K$114="5A")*(Students!$L$3:$L$114=19),0),0)),"")</f>
        <v>S-062</v>
      </c>
      <c r="C21" s="4" t="n">
        <f aca="false">IFERROR(INDEX(Students!$B$3:$B$114,MATCH(1,INDEX((Students!$K$3:$K$114="5A")*(Students!$L$3:$L$114=19),0),0)),"")</f>
        <v>503</v>
      </c>
      <c r="D21" s="4" t="str">
        <f aca="false">IFERROR(INDEX(Students!$C$3:$C$114,MATCH(1,INDEX((Students!$K$3:$K$114="5A")*(Students!$L$3:$L$114=19),0),0)),"")</f>
        <v>Grade 3</v>
      </c>
      <c r="E21" s="4" t="n">
        <f aca="false">IFERROR(INDEX(Students!$D$3:$D$114,MATCH(1,INDEX((Students!$K$3:$K$114="5A")*(Students!$L$3:$L$114=19),0),0)),"")</f>
        <v>462</v>
      </c>
      <c r="F21" s="4" t="str">
        <f aca="false">IFERROR(INDEX(Students!$E$3:$E$114,MATCH(1,INDEX((Students!$K$3:$K$114="5A")*(Students!$L$3:$L$114=19),0),0)),"")</f>
        <v>Grade 2</v>
      </c>
    </row>
    <row r="22" customFormat="false" ht="15" hidden="false" customHeight="false" outlineLevel="0" collapsed="false">
      <c r="A22" s="4" t="n">
        <v>20</v>
      </c>
      <c r="B22" s="4" t="str">
        <f aca="false">IFERROR(INDEX(Students!$A$3:$A$114,MATCH(1,INDEX((Students!$K$3:$K$114="5A")*(Students!$L$3:$L$114=20),0),0)),"")</f>
        <v>S-065</v>
      </c>
      <c r="C22" s="4" t="n">
        <f aca="false">IFERROR(INDEX(Students!$B$3:$B$114,MATCH(1,INDEX((Students!$K$3:$K$114="5A")*(Students!$L$3:$L$114=20),0),0)),"")</f>
        <v>505</v>
      </c>
      <c r="D22" s="4" t="str">
        <f aca="false">IFERROR(INDEX(Students!$C$3:$C$114,MATCH(1,INDEX((Students!$K$3:$K$114="5A")*(Students!$L$3:$L$114=20),0),0)),"")</f>
        <v>Grade 4</v>
      </c>
      <c r="E22" s="4" t="n">
        <f aca="false">IFERROR(INDEX(Students!$D$3:$D$114,MATCH(1,INDEX((Students!$K$3:$K$114="5A")*(Students!$L$3:$L$114=20),0),0)),"")</f>
        <v>492</v>
      </c>
      <c r="F22" s="4" t="str">
        <f aca="false">IFERROR(INDEX(Students!$E$3:$E$114,MATCH(1,INDEX((Students!$K$3:$K$114="5A")*(Students!$L$3:$L$114=20),0),0)),"")</f>
        <v>Grade 3</v>
      </c>
    </row>
    <row r="23" customFormat="false" ht="15" hidden="false" customHeight="false" outlineLevel="0" collapsed="false">
      <c r="A23" s="4" t="n">
        <v>21</v>
      </c>
      <c r="B23" s="4" t="str">
        <f aca="false">IFERROR(INDEX(Students!$A$3:$A$114,MATCH(1,INDEX((Students!$K$3:$K$114="5A")*(Students!$L$3:$L$114=21),0),0)),"")</f>
        <v>S-067</v>
      </c>
      <c r="C23" s="4" t="n">
        <f aca="false">IFERROR(INDEX(Students!$B$3:$B$114,MATCH(1,INDEX((Students!$K$3:$K$114="5A")*(Students!$L$3:$L$114=21),0),0)),"")</f>
        <v>481</v>
      </c>
      <c r="D23" s="4" t="str">
        <f aca="false">IFERROR(INDEX(Students!$C$3:$C$114,MATCH(1,INDEX((Students!$K$3:$K$114="5A")*(Students!$L$3:$L$114=21),0),0)),"")</f>
        <v>Grade 3</v>
      </c>
      <c r="E23" s="4" t="n">
        <f aca="false">IFERROR(INDEX(Students!$D$3:$D$114,MATCH(1,INDEX((Students!$K$3:$K$114="5A")*(Students!$L$3:$L$114=21),0),0)),"")</f>
        <v>567</v>
      </c>
      <c r="F23" s="4" t="str">
        <f aca="false">IFERROR(INDEX(Students!$E$3:$E$114,MATCH(1,INDEX((Students!$K$3:$K$114="5A")*(Students!$L$3:$L$114=21),0),0)),"")</f>
        <v>Grade 5</v>
      </c>
    </row>
    <row r="24" customFormat="false" ht="15" hidden="false" customHeight="false" outlineLevel="0" collapsed="false">
      <c r="A24" s="4" t="n">
        <v>22</v>
      </c>
      <c r="B24" s="4" t="str">
        <f aca="false">IFERROR(INDEX(Students!$A$3:$A$114,MATCH(1,INDEX((Students!$K$3:$K$114="5A")*(Students!$L$3:$L$114=22),0),0)),"")</f>
        <v>S-075</v>
      </c>
      <c r="C24" s="4" t="n">
        <f aca="false">IFERROR(INDEX(Students!$B$3:$B$114,MATCH(1,INDEX((Students!$K$3:$K$114="5A")*(Students!$L$3:$L$114=22),0),0)),"")</f>
        <v>475</v>
      </c>
      <c r="D24" s="4" t="str">
        <f aca="false">IFERROR(INDEX(Students!$C$3:$C$114,MATCH(1,INDEX((Students!$K$3:$K$114="5A")*(Students!$L$3:$L$114=22),0),0)),"")</f>
        <v>Grade 3</v>
      </c>
      <c r="E24" s="4" t="n">
        <f aca="false">IFERROR(INDEX(Students!$D$3:$D$114,MATCH(1,INDEX((Students!$K$3:$K$114="5A")*(Students!$L$3:$L$114=22),0),0)),"")</f>
        <v>532</v>
      </c>
      <c r="F24" s="4" t="str">
        <f aca="false">IFERROR(INDEX(Students!$E$3:$E$114,MATCH(1,INDEX((Students!$K$3:$K$114="5A")*(Students!$L$3:$L$114=22),0),0)),"")</f>
        <v>Grade 4</v>
      </c>
    </row>
    <row r="25" customFormat="false" ht="15" hidden="false" customHeight="false" outlineLevel="0" collapsed="false">
      <c r="A25" s="4" t="n">
        <v>23</v>
      </c>
      <c r="B25" s="4" t="str">
        <f aca="false">IFERROR(INDEX(Students!$A$3:$A$114,MATCH(1,INDEX((Students!$K$3:$K$114="5A")*(Students!$L$3:$L$114=23),0),0)),"")</f>
        <v>S-078</v>
      </c>
      <c r="C25" s="4" t="n">
        <f aca="false">IFERROR(INDEX(Students!$B$3:$B$114,MATCH(1,INDEX((Students!$K$3:$K$114="5A")*(Students!$L$3:$L$114=23),0),0)),"")</f>
        <v>541</v>
      </c>
      <c r="D25" s="4" t="str">
        <f aca="false">IFERROR(INDEX(Students!$C$3:$C$114,MATCH(1,INDEX((Students!$K$3:$K$114="5A")*(Students!$L$3:$L$114=23),0),0)),"")</f>
        <v>Grade 5</v>
      </c>
      <c r="E25" s="4" t="n">
        <f aca="false">IFERROR(INDEX(Students!$D$3:$D$114,MATCH(1,INDEX((Students!$K$3:$K$114="5A")*(Students!$L$3:$L$114=23),0),0)),"")</f>
        <v>550</v>
      </c>
      <c r="F25" s="4" t="str">
        <f aca="false">IFERROR(INDEX(Students!$E$3:$E$114,MATCH(1,INDEX((Students!$K$3:$K$114="5A")*(Students!$L$3:$L$114=23),0),0)),"")</f>
        <v>Grade 5</v>
      </c>
    </row>
    <row r="26" customFormat="false" ht="15" hidden="false" customHeight="false" outlineLevel="0" collapsed="false">
      <c r="A26" s="4" t="n">
        <v>24</v>
      </c>
      <c r="B26" s="4" t="str">
        <f aca="false">IFERROR(INDEX(Students!$A$3:$A$114,MATCH(1,INDEX((Students!$K$3:$K$114="5A")*(Students!$L$3:$L$114=24),0),0)),"")</f>
        <v>S-085</v>
      </c>
      <c r="C26" s="4" t="n">
        <f aca="false">IFERROR(INDEX(Students!$B$3:$B$114,MATCH(1,INDEX((Students!$K$3:$K$114="5A")*(Students!$L$3:$L$114=24),0),0)),"")</f>
        <v>535</v>
      </c>
      <c r="D26" s="4" t="str">
        <f aca="false">IFERROR(INDEX(Students!$C$3:$C$114,MATCH(1,INDEX((Students!$K$3:$K$114="5A")*(Students!$L$3:$L$114=24),0),0)),"")</f>
        <v>Grade 4</v>
      </c>
      <c r="E26" s="4" t="n">
        <f aca="false">IFERROR(INDEX(Students!$D$3:$D$114,MATCH(1,INDEX((Students!$K$3:$K$114="5A")*(Students!$L$3:$L$114=24),0),0)),"")</f>
        <v>517</v>
      </c>
      <c r="F26" s="4" t="str">
        <f aca="false">IFERROR(INDEX(Students!$E$3:$E$114,MATCH(1,INDEX((Students!$K$3:$K$114="5A")*(Students!$L$3:$L$114=24),0),0)),"")</f>
        <v>Grade 4</v>
      </c>
    </row>
    <row r="27" customFormat="false" ht="15" hidden="false" customHeight="false" outlineLevel="0" collapsed="false">
      <c r="A27" s="4" t="n">
        <v>25</v>
      </c>
      <c r="B27" s="4" t="str">
        <f aca="false">IFERROR(INDEX(Students!$A$3:$A$114,MATCH(1,INDEX((Students!$K$3:$K$114="5A")*(Students!$L$3:$L$114=25),0),0)),"")</f>
        <v>S-098</v>
      </c>
      <c r="C27" s="4" t="n">
        <f aca="false">IFERROR(INDEX(Students!$B$3:$B$114,MATCH(1,INDEX((Students!$K$3:$K$114="5A")*(Students!$L$3:$L$114=25),0),0)),"")</f>
        <v>456</v>
      </c>
      <c r="D27" s="4" t="str">
        <f aca="false">IFERROR(INDEX(Students!$C$3:$C$114,MATCH(1,INDEX((Students!$K$3:$K$114="5A")*(Students!$L$3:$L$114=25),0),0)),"")</f>
        <v>Grade 2</v>
      </c>
      <c r="E27" s="4" t="n">
        <f aca="false">IFERROR(INDEX(Students!$D$3:$D$114,MATCH(1,INDEX((Students!$K$3:$K$114="5A")*(Students!$L$3:$L$114=25),0),0)),"")</f>
        <v>553</v>
      </c>
      <c r="F27" s="4" t="str">
        <f aca="false">IFERROR(INDEX(Students!$E$3:$E$114,MATCH(1,INDEX((Students!$K$3:$K$114="5A")*(Students!$L$3:$L$114=25),0),0)),"")</f>
        <v>Grade 5</v>
      </c>
    </row>
    <row r="28" customFormat="false" ht="15" hidden="false" customHeight="false" outlineLevel="0" collapsed="false">
      <c r="A28" s="4" t="n">
        <v>26</v>
      </c>
      <c r="B28" s="4" t="str">
        <f aca="false">IFERROR(INDEX(Students!$A$3:$A$114,MATCH(1,INDEX((Students!$K$3:$K$114="5A")*(Students!$L$3:$L$114=26),0),0)),"")</f>
        <v>S-099</v>
      </c>
      <c r="C28" s="4" t="n">
        <f aca="false">IFERROR(INDEX(Students!$B$3:$B$114,MATCH(1,INDEX((Students!$K$3:$K$114="5A")*(Students!$L$3:$L$114=26),0),0)),"")</f>
        <v>457</v>
      </c>
      <c r="D28" s="4" t="str">
        <f aca="false">IFERROR(INDEX(Students!$C$3:$C$114,MATCH(1,INDEX((Students!$K$3:$K$114="5A")*(Students!$L$3:$L$114=26),0),0)),"")</f>
        <v>Grade 2</v>
      </c>
      <c r="E28" s="4" t="n">
        <f aca="false">IFERROR(INDEX(Students!$D$3:$D$114,MATCH(1,INDEX((Students!$K$3:$K$114="5A")*(Students!$L$3:$L$114=26),0),0)),"")</f>
        <v>538</v>
      </c>
      <c r="F28" s="4" t="str">
        <f aca="false">IFERROR(INDEX(Students!$E$3:$E$114,MATCH(1,INDEX((Students!$K$3:$K$114="5A")*(Students!$L$3:$L$114=26),0),0)),"")</f>
        <v>Grade 5</v>
      </c>
    </row>
    <row r="29" customFormat="false" ht="15" hidden="false" customHeight="false" outlineLevel="0" collapsed="false">
      <c r="A29" s="4" t="n">
        <v>27</v>
      </c>
      <c r="B29" s="4" t="str">
        <f aca="false">IFERROR(INDEX(Students!$A$3:$A$114,MATCH(1,INDEX((Students!$K$3:$K$114="5A")*(Students!$L$3:$L$114=27),0),0)),"")</f>
        <v>S-105</v>
      </c>
      <c r="C29" s="4" t="n">
        <f aca="false">IFERROR(INDEX(Students!$B$3:$B$114,MATCH(1,INDEX((Students!$K$3:$K$114="5A")*(Students!$L$3:$L$114=27),0),0)),"")</f>
        <v>414</v>
      </c>
      <c r="D29" s="4" t="str">
        <f aca="false">IFERROR(INDEX(Students!$C$3:$C$114,MATCH(1,INDEX((Students!$K$3:$K$114="5A")*(Students!$L$3:$L$114=27),0),0)),"")</f>
        <v>Grade 1</v>
      </c>
      <c r="E29" s="4" t="n">
        <f aca="false">IFERROR(INDEX(Students!$D$3:$D$114,MATCH(1,INDEX((Students!$K$3:$K$114="5A")*(Students!$L$3:$L$114=27),0),0)),"")</f>
        <v>480</v>
      </c>
      <c r="F29" s="4" t="str">
        <f aca="false">IFERROR(INDEX(Students!$E$3:$E$114,MATCH(1,INDEX((Students!$K$3:$K$114="5A")*(Students!$L$3:$L$114=27),0),0)),"")</f>
        <v>Grade 3</v>
      </c>
    </row>
    <row r="30" customFormat="false" ht="15" hidden="false" customHeight="false" outlineLevel="0" collapsed="false">
      <c r="A30" s="4" t="n">
        <v>28</v>
      </c>
      <c r="B30" s="4" t="str">
        <f aca="false">IFERROR(INDEX(Students!$A$3:$A$114,MATCH(1,INDEX((Students!$K$3:$K$114="5A")*(Students!$L$3:$L$114=28),0),0)),"")</f>
        <v>S-107</v>
      </c>
      <c r="C30" s="4" t="n">
        <f aca="false">IFERROR(INDEX(Students!$B$3:$B$114,MATCH(1,INDEX((Students!$K$3:$K$114="5A")*(Students!$L$3:$L$114=28),0),0)),"")</f>
        <v>536</v>
      </c>
      <c r="D30" s="4" t="str">
        <f aca="false">IFERROR(INDEX(Students!$C$3:$C$114,MATCH(1,INDEX((Students!$K$3:$K$114="5A")*(Students!$L$3:$L$114=28),0),0)),"")</f>
        <v>Grade 5</v>
      </c>
      <c r="E30" s="4" t="n">
        <f aca="false">IFERROR(INDEX(Students!$D$3:$D$114,MATCH(1,INDEX((Students!$K$3:$K$114="5A")*(Students!$L$3:$L$114=28),0),0)),"")</f>
        <v>535</v>
      </c>
      <c r="F30" s="4" t="str">
        <f aca="false">IFERROR(INDEX(Students!$E$3:$E$114,MATCH(1,INDEX((Students!$K$3:$K$114="5A")*(Students!$L$3:$L$114=28),0),0)),"")</f>
        <v>Grade 5</v>
      </c>
    </row>
    <row r="31" customFormat="false" ht="15" hidden="false" customHeight="false" outlineLevel="0" collapsed="false">
      <c r="A31" s="4" t="n">
        <v>29</v>
      </c>
      <c r="B31" s="4" t="str">
        <f aca="false">IFERROR(INDEX(Students!$A$3:$A$114,MATCH(1,INDEX((Students!$K$3:$K$114="5A")*(Students!$L$3:$L$114=29),0),0)),"")</f>
        <v/>
      </c>
      <c r="C31" s="4" t="str">
        <f aca="false">IFERROR(INDEX(Students!$B$3:$B$114,MATCH(1,INDEX((Students!$K$3:$K$114="5A")*(Students!$L$3:$L$114=29),0),0)),"")</f>
        <v/>
      </c>
      <c r="D31" s="4" t="str">
        <f aca="false">IFERROR(INDEX(Students!$C$3:$C$114,MATCH(1,INDEX((Students!$K$3:$K$114="5A")*(Students!$L$3:$L$114=29),0),0)),"")</f>
        <v/>
      </c>
      <c r="E31" s="4" t="str">
        <f aca="false">IFERROR(INDEX(Students!$D$3:$D$114,MATCH(1,INDEX((Students!$K$3:$K$114="5A")*(Students!$L$3:$L$114=29),0),0)),"")</f>
        <v/>
      </c>
      <c r="F31" s="4" t="str">
        <f aca="false">IFERROR(INDEX(Students!$E$3:$E$114,MATCH(1,INDEX((Students!$K$3:$K$114="5A")*(Students!$L$3:$L$114=29),0),0)),"")</f>
        <v/>
      </c>
    </row>
    <row r="32" customFormat="false" ht="15" hidden="false" customHeight="false" outlineLevel="0" collapsed="false">
      <c r="A32" s="4" t="n">
        <v>30</v>
      </c>
      <c r="B32" s="4" t="str">
        <f aca="false">IFERROR(INDEX(Students!$A$3:$A$114,MATCH(1,INDEX((Students!$K$3:$K$114="5A")*(Students!$L$3:$L$114=30),0),0)),"")</f>
        <v/>
      </c>
      <c r="C32" s="4" t="str">
        <f aca="false">IFERROR(INDEX(Students!$B$3:$B$114,MATCH(1,INDEX((Students!$K$3:$K$114="5A")*(Students!$L$3:$L$114=30),0),0)),"")</f>
        <v/>
      </c>
      <c r="D32" s="4" t="str">
        <f aca="false">IFERROR(INDEX(Students!$C$3:$C$114,MATCH(1,INDEX((Students!$K$3:$K$114="5A")*(Students!$L$3:$L$114=30),0),0)),"")</f>
        <v/>
      </c>
      <c r="E32" s="4" t="str">
        <f aca="false">IFERROR(INDEX(Students!$D$3:$D$114,MATCH(1,INDEX((Students!$K$3:$K$114="5A")*(Students!$L$3:$L$114=30),0),0)),"")</f>
        <v/>
      </c>
      <c r="F32" s="4" t="str">
        <f aca="false">IFERROR(INDEX(Students!$E$3:$E$114,MATCH(1,INDEX((Students!$K$3:$K$114="5A")*(Students!$L$3:$L$114=30),0),0)),"")</f>
        <v/>
      </c>
    </row>
    <row r="33" customFormat="false" ht="15" hidden="false" customHeight="false" outlineLevel="0" collapsed="false">
      <c r="A33" s="4" t="n">
        <v>31</v>
      </c>
      <c r="B33" s="4" t="str">
        <f aca="false">IFERROR(INDEX(Students!$A$3:$A$114,MATCH(1,INDEX((Students!$K$3:$K$114="5A")*(Students!$L$3:$L$114=31),0),0)),"")</f>
        <v/>
      </c>
      <c r="C33" s="4" t="str">
        <f aca="false">IFERROR(INDEX(Students!$B$3:$B$114,MATCH(1,INDEX((Students!$K$3:$K$114="5A")*(Students!$L$3:$L$114=31),0),0)),"")</f>
        <v/>
      </c>
      <c r="D33" s="4" t="str">
        <f aca="false">IFERROR(INDEX(Students!$C$3:$C$114,MATCH(1,INDEX((Students!$K$3:$K$114="5A")*(Students!$L$3:$L$114=31),0),0)),"")</f>
        <v/>
      </c>
      <c r="E33" s="4" t="str">
        <f aca="false">IFERROR(INDEX(Students!$D$3:$D$114,MATCH(1,INDEX((Students!$K$3:$K$114="5A")*(Students!$L$3:$L$114=31),0),0)),"")</f>
        <v/>
      </c>
      <c r="F33" s="4" t="str">
        <f aca="false">IFERROR(INDEX(Students!$E$3:$E$114,MATCH(1,INDEX((Students!$K$3:$K$114="5A")*(Students!$L$3:$L$114=31),0),0)),"")</f>
        <v/>
      </c>
    </row>
    <row r="34" customFormat="false" ht="15" hidden="false" customHeight="false" outlineLevel="0" collapsed="false">
      <c r="A34" s="4" t="n">
        <v>32</v>
      </c>
      <c r="B34" s="4" t="str">
        <f aca="false">IFERROR(INDEX(Students!$A$3:$A$114,MATCH(1,INDEX((Students!$K$3:$K$114="5A")*(Students!$L$3:$L$114=32),0),0)),"")</f>
        <v/>
      </c>
      <c r="C34" s="4" t="str">
        <f aca="false">IFERROR(INDEX(Students!$B$3:$B$114,MATCH(1,INDEX((Students!$K$3:$K$114="5A")*(Students!$L$3:$L$114=32),0),0)),"")</f>
        <v/>
      </c>
      <c r="D34" s="4" t="str">
        <f aca="false">IFERROR(INDEX(Students!$C$3:$C$114,MATCH(1,INDEX((Students!$K$3:$K$114="5A")*(Students!$L$3:$L$114=32),0),0)),"")</f>
        <v/>
      </c>
      <c r="E34" s="4" t="str">
        <f aca="false">IFERROR(INDEX(Students!$D$3:$D$114,MATCH(1,INDEX((Students!$K$3:$K$114="5A")*(Students!$L$3:$L$114=32),0),0)),"")</f>
        <v/>
      </c>
      <c r="F34" s="4" t="str">
        <f aca="false">IFERROR(INDEX(Students!$E$3:$E$114,MATCH(1,INDEX((Students!$K$3:$K$114="5A")*(Students!$L$3:$L$114=32),0),0)),"")</f>
        <v/>
      </c>
    </row>
    <row r="35" customFormat="false" ht="15" hidden="false" customHeight="false" outlineLevel="0" collapsed="false">
      <c r="A35" s="4" t="n">
        <v>33</v>
      </c>
      <c r="B35" s="4" t="str">
        <f aca="false">IFERROR(INDEX(Students!$A$3:$A$114,MATCH(1,INDEX((Students!$K$3:$K$114="5A")*(Students!$L$3:$L$114=33),0),0)),"")</f>
        <v/>
      </c>
      <c r="C35" s="4" t="str">
        <f aca="false">IFERROR(INDEX(Students!$B$3:$B$114,MATCH(1,INDEX((Students!$K$3:$K$114="5A")*(Students!$L$3:$L$114=33),0),0)),"")</f>
        <v/>
      </c>
      <c r="D35" s="4" t="str">
        <f aca="false">IFERROR(INDEX(Students!$C$3:$C$114,MATCH(1,INDEX((Students!$K$3:$K$114="5A")*(Students!$L$3:$L$114=33),0),0)),"")</f>
        <v/>
      </c>
      <c r="E35" s="4" t="str">
        <f aca="false">IFERROR(INDEX(Students!$D$3:$D$114,MATCH(1,INDEX((Students!$K$3:$K$114="5A")*(Students!$L$3:$L$114=33),0),0)),"")</f>
        <v/>
      </c>
      <c r="F35" s="4" t="str">
        <f aca="false">IFERROR(INDEX(Students!$E$3:$E$114,MATCH(1,INDEX((Students!$K$3:$K$114="5A")*(Students!$L$3:$L$114=33),0),0)),"")</f>
        <v/>
      </c>
    </row>
    <row r="36" customFormat="false" ht="15" hidden="false" customHeight="false" outlineLevel="0" collapsed="false">
      <c r="A36" s="4" t="n">
        <v>34</v>
      </c>
      <c r="B36" s="4" t="str">
        <f aca="false">IFERROR(INDEX(Students!$A$3:$A$114,MATCH(1,INDEX((Students!$K$3:$K$114="5A")*(Students!$L$3:$L$114=34),0),0)),"")</f>
        <v/>
      </c>
      <c r="C36" s="4" t="str">
        <f aca="false">IFERROR(INDEX(Students!$B$3:$B$114,MATCH(1,INDEX((Students!$K$3:$K$114="5A")*(Students!$L$3:$L$114=34),0),0)),"")</f>
        <v/>
      </c>
      <c r="D36" s="4" t="str">
        <f aca="false">IFERROR(INDEX(Students!$C$3:$C$114,MATCH(1,INDEX((Students!$K$3:$K$114="5A")*(Students!$L$3:$L$114=34),0),0)),"")</f>
        <v/>
      </c>
      <c r="E36" s="4" t="str">
        <f aca="false">IFERROR(INDEX(Students!$D$3:$D$114,MATCH(1,INDEX((Students!$K$3:$K$114="5A")*(Students!$L$3:$L$114=34),0),0)),"")</f>
        <v/>
      </c>
      <c r="F36" s="4" t="str">
        <f aca="false">IFERROR(INDEX(Students!$E$3:$E$114,MATCH(1,INDEX((Students!$K$3:$K$114="5A")*(Students!$L$3:$L$114=34),0),0)),"")</f>
        <v/>
      </c>
    </row>
    <row r="37" customFormat="false" ht="15" hidden="false" customHeight="false" outlineLevel="0" collapsed="false">
      <c r="A37" s="4" t="n">
        <v>35</v>
      </c>
      <c r="B37" s="4" t="str">
        <f aca="false">IFERROR(INDEX(Students!$A$3:$A$114,MATCH(1,INDEX((Students!$K$3:$K$114="5A")*(Students!$L$3:$L$114=35),0),0)),"")</f>
        <v/>
      </c>
      <c r="C37" s="4" t="str">
        <f aca="false">IFERROR(INDEX(Students!$B$3:$B$114,MATCH(1,INDEX((Students!$K$3:$K$114="5A")*(Students!$L$3:$L$114=35),0),0)),"")</f>
        <v/>
      </c>
      <c r="D37" s="4" t="str">
        <f aca="false">IFERROR(INDEX(Students!$C$3:$C$114,MATCH(1,INDEX((Students!$K$3:$K$114="5A")*(Students!$L$3:$L$114=35),0),0)),"")</f>
        <v/>
      </c>
      <c r="E37" s="4" t="str">
        <f aca="false">IFERROR(INDEX(Students!$D$3:$D$114,MATCH(1,INDEX((Students!$K$3:$K$114="5A")*(Students!$L$3:$L$114=35),0),0)),"")</f>
        <v/>
      </c>
      <c r="F37" s="4" t="str">
        <f aca="false">IFERROR(INDEX(Students!$E$3:$E$114,MATCH(1,INDEX((Students!$K$3:$K$114="5A")*(Students!$L$3:$L$114=35),0),0)),"")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6" t="s">
        <v>155</v>
      </c>
      <c r="B1" s="2"/>
      <c r="C1" s="2"/>
      <c r="D1" s="2"/>
      <c r="E1" s="2"/>
      <c r="F1" s="2"/>
    </row>
    <row r="2" customFormat="false" ht="33.75" hidden="false" customHeight="true" outlineLevel="0" collapsed="false">
      <c r="A2" s="3" t="s">
        <v>154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customFormat="false" ht="15" hidden="false" customHeight="false" outlineLevel="0" collapsed="false">
      <c r="A3" s="4" t="n">
        <v>1</v>
      </c>
      <c r="B3" s="4" t="str">
        <f aca="false">IFERROR(INDEX(Students!$A$3:$A$114,MATCH(1,INDEX((Students!$K$3:$K$114="5B")*(Students!$L$3:$L$114=1),0),0)),"")</f>
        <v>S-008</v>
      </c>
      <c r="C3" s="4" t="n">
        <f aca="false">IFERROR(INDEX(Students!$B$3:$B$114,MATCH(1,INDEX((Students!$K$3:$K$114="5B")*(Students!$L$3:$L$114=1),0),0)),"")</f>
        <v>546</v>
      </c>
      <c r="D3" s="4" t="str">
        <f aca="false">IFERROR(INDEX(Students!$C$3:$C$114,MATCH(1,INDEX((Students!$K$3:$K$114="5B")*(Students!$L$3:$L$114=1),0),0)),"")</f>
        <v>Grade 5</v>
      </c>
      <c r="E3" s="4" t="n">
        <f aca="false">IFERROR(INDEX(Students!$D$3:$D$114,MATCH(1,INDEX((Students!$K$3:$K$114="5B")*(Students!$L$3:$L$114=1),0),0)),"")</f>
        <v>573</v>
      </c>
      <c r="F3" s="4" t="str">
        <f aca="false">IFERROR(INDEX(Students!$E$3:$E$114,MATCH(1,INDEX((Students!$K$3:$K$114="5B")*(Students!$L$3:$L$114=1),0),0)),"")</f>
        <v>Grade 5</v>
      </c>
    </row>
    <row r="4" customFormat="false" ht="15" hidden="false" customHeight="false" outlineLevel="0" collapsed="false">
      <c r="A4" s="4" t="n">
        <v>2</v>
      </c>
      <c r="B4" s="4" t="str">
        <f aca="false">IFERROR(INDEX(Students!$A$3:$A$114,MATCH(1,INDEX((Students!$K$3:$K$114="5B")*(Students!$L$3:$L$114=2),0),0)),"")</f>
        <v>S-010</v>
      </c>
      <c r="C4" s="4" t="n">
        <f aca="false">IFERROR(INDEX(Students!$B$3:$B$114,MATCH(1,INDEX((Students!$K$3:$K$114="5B")*(Students!$L$3:$L$114=2),0),0)),"")</f>
        <v>575</v>
      </c>
      <c r="D4" s="4" t="str">
        <f aca="false">IFERROR(INDEX(Students!$C$3:$C$114,MATCH(1,INDEX((Students!$K$3:$K$114="5B")*(Students!$L$3:$L$114=2),0),0)),"")</f>
        <v>Grade 5</v>
      </c>
      <c r="E4" s="4" t="n">
        <f aca="false">IFERROR(INDEX(Students!$D$3:$D$114,MATCH(1,INDEX((Students!$K$3:$K$114="5B")*(Students!$L$3:$L$114=2),0),0)),"")</f>
        <v>547</v>
      </c>
      <c r="F4" s="4" t="str">
        <f aca="false">IFERROR(INDEX(Students!$E$3:$E$114,MATCH(1,INDEX((Students!$K$3:$K$114="5B")*(Students!$L$3:$L$114=2),0),0)),"")</f>
        <v>Grade 5</v>
      </c>
    </row>
    <row r="5" customFormat="false" ht="15" hidden="false" customHeight="false" outlineLevel="0" collapsed="false">
      <c r="A5" s="4" t="n">
        <v>3</v>
      </c>
      <c r="B5" s="4" t="str">
        <f aca="false">IFERROR(INDEX(Students!$A$3:$A$114,MATCH(1,INDEX((Students!$K$3:$K$114="5B")*(Students!$L$3:$L$114=3),0),0)),"")</f>
        <v>S-012</v>
      </c>
      <c r="C5" s="4" t="n">
        <f aca="false">IFERROR(INDEX(Students!$B$3:$B$114,MATCH(1,INDEX((Students!$K$3:$K$114="5B")*(Students!$L$3:$L$114=3),0),0)),"")</f>
        <v>496</v>
      </c>
      <c r="D5" s="4" t="str">
        <f aca="false">IFERROR(INDEX(Students!$C$3:$C$114,MATCH(1,INDEX((Students!$K$3:$K$114="5B")*(Students!$L$3:$L$114=3),0),0)),"")</f>
        <v>Grade 3</v>
      </c>
      <c r="E5" s="4" t="n">
        <f aca="false">IFERROR(INDEX(Students!$D$3:$D$114,MATCH(1,INDEX((Students!$K$3:$K$114="5B")*(Students!$L$3:$L$114=3),0),0)),"")</f>
        <v>396</v>
      </c>
      <c r="F5" s="4" t="str">
        <f aca="false">IFERROR(INDEX(Students!$E$3:$E$114,MATCH(1,INDEX((Students!$K$3:$K$114="5B")*(Students!$L$3:$L$114=3),0),0)),"")</f>
        <v>Grade 1</v>
      </c>
    </row>
    <row r="6" customFormat="false" ht="15" hidden="false" customHeight="false" outlineLevel="0" collapsed="false">
      <c r="A6" s="4" t="n">
        <v>4</v>
      </c>
      <c r="B6" s="4" t="str">
        <f aca="false">IFERROR(INDEX(Students!$A$3:$A$114,MATCH(1,INDEX((Students!$K$3:$K$114="5B")*(Students!$L$3:$L$114=4),0),0)),"")</f>
        <v>S-019</v>
      </c>
      <c r="C6" s="4" t="n">
        <f aca="false">IFERROR(INDEX(Students!$B$3:$B$114,MATCH(1,INDEX((Students!$K$3:$K$114="5B")*(Students!$L$3:$L$114=4),0),0)),"")</f>
        <v>528</v>
      </c>
      <c r="D6" s="4" t="str">
        <f aca="false">IFERROR(INDEX(Students!$C$3:$C$114,MATCH(1,INDEX((Students!$K$3:$K$114="5B")*(Students!$L$3:$L$114=4),0),0)),"")</f>
        <v>Grade 4</v>
      </c>
      <c r="E6" s="4" t="n">
        <f aca="false">IFERROR(INDEX(Students!$D$3:$D$114,MATCH(1,INDEX((Students!$K$3:$K$114="5B")*(Students!$L$3:$L$114=4),0),0)),"")</f>
        <v>512</v>
      </c>
      <c r="F6" s="4" t="str">
        <f aca="false">IFERROR(INDEX(Students!$E$3:$E$114,MATCH(1,INDEX((Students!$K$3:$K$114="5B")*(Students!$L$3:$L$114=4),0),0)),"")</f>
        <v>Grade 4</v>
      </c>
    </row>
    <row r="7" customFormat="false" ht="15" hidden="false" customHeight="false" outlineLevel="0" collapsed="false">
      <c r="A7" s="4" t="n">
        <v>5</v>
      </c>
      <c r="B7" s="4" t="str">
        <f aca="false">IFERROR(INDEX(Students!$A$3:$A$114,MATCH(1,INDEX((Students!$K$3:$K$114="5B")*(Students!$L$3:$L$114=5),0),0)),"")</f>
        <v>S-020</v>
      </c>
      <c r="C7" s="4" t="n">
        <f aca="false">IFERROR(INDEX(Students!$B$3:$B$114,MATCH(1,INDEX((Students!$K$3:$K$114="5B")*(Students!$L$3:$L$114=5),0),0)),"")</f>
        <v>469</v>
      </c>
      <c r="D7" s="4" t="str">
        <f aca="false">IFERROR(INDEX(Students!$C$3:$C$114,MATCH(1,INDEX((Students!$K$3:$K$114="5B")*(Students!$L$3:$L$114=5),0),0)),"")</f>
        <v>Grade 3</v>
      </c>
      <c r="E7" s="4" t="n">
        <f aca="false">IFERROR(INDEX(Students!$D$3:$D$114,MATCH(1,INDEX((Students!$K$3:$K$114="5B")*(Students!$L$3:$L$114=5),0),0)),"")</f>
        <v>434</v>
      </c>
      <c r="F7" s="4" t="str">
        <f aca="false">IFERROR(INDEX(Students!$E$3:$E$114,MATCH(1,INDEX((Students!$K$3:$K$114="5B")*(Students!$L$3:$L$114=5),0),0)),"")</f>
        <v>Grade 1</v>
      </c>
    </row>
    <row r="8" customFormat="false" ht="15" hidden="false" customHeight="false" outlineLevel="0" collapsed="false">
      <c r="A8" s="4" t="n">
        <v>6</v>
      </c>
      <c r="B8" s="4" t="str">
        <f aca="false">IFERROR(INDEX(Students!$A$3:$A$114,MATCH(1,INDEX((Students!$K$3:$K$114="5B")*(Students!$L$3:$L$114=6),0),0)),"")</f>
        <v>S-025</v>
      </c>
      <c r="C8" s="4" t="n">
        <f aca="false">IFERROR(INDEX(Students!$B$3:$B$114,MATCH(1,INDEX((Students!$K$3:$K$114="5B")*(Students!$L$3:$L$114=6),0),0)),"")</f>
        <v>445</v>
      </c>
      <c r="D8" s="4" t="str">
        <f aca="false">IFERROR(INDEX(Students!$C$3:$C$114,MATCH(1,INDEX((Students!$K$3:$K$114="5B")*(Students!$L$3:$L$114=6),0),0)),"")</f>
        <v>Grade 2</v>
      </c>
      <c r="E8" s="4" t="n">
        <f aca="false">IFERROR(INDEX(Students!$D$3:$D$114,MATCH(1,INDEX((Students!$K$3:$K$114="5B")*(Students!$L$3:$L$114=6),0),0)),"")</f>
        <v>410</v>
      </c>
      <c r="F8" s="4" t="str">
        <f aca="false">IFERROR(INDEX(Students!$E$3:$E$114,MATCH(1,INDEX((Students!$K$3:$K$114="5B")*(Students!$L$3:$L$114=6),0),0)),"")</f>
        <v>Grade 1</v>
      </c>
    </row>
    <row r="9" customFormat="false" ht="15" hidden="false" customHeight="false" outlineLevel="0" collapsed="false">
      <c r="A9" s="4" t="n">
        <v>7</v>
      </c>
      <c r="B9" s="4" t="str">
        <f aca="false">IFERROR(INDEX(Students!$A$3:$A$114,MATCH(1,INDEX((Students!$K$3:$K$114="5B")*(Students!$L$3:$L$114=7),0),0)),"")</f>
        <v>S-036</v>
      </c>
      <c r="C9" s="4" t="n">
        <f aca="false">IFERROR(INDEX(Students!$B$3:$B$114,MATCH(1,INDEX((Students!$K$3:$K$114="5B")*(Students!$L$3:$L$114=7),0),0)),"")</f>
        <v>519</v>
      </c>
      <c r="D9" s="4" t="str">
        <f aca="false">IFERROR(INDEX(Students!$C$3:$C$114,MATCH(1,INDEX((Students!$K$3:$K$114="5B")*(Students!$L$3:$L$114=7),0),0)),"")</f>
        <v>Grade 4</v>
      </c>
      <c r="E9" s="4" t="n">
        <f aca="false">IFERROR(INDEX(Students!$D$3:$D$114,MATCH(1,INDEX((Students!$K$3:$K$114="5B")*(Students!$L$3:$L$114=7),0),0)),"")</f>
        <v>520</v>
      </c>
      <c r="F9" s="4" t="str">
        <f aca="false">IFERROR(INDEX(Students!$E$3:$E$114,MATCH(1,INDEX((Students!$K$3:$K$114="5B")*(Students!$L$3:$L$114=7),0),0)),"")</f>
        <v>Grade 4</v>
      </c>
    </row>
    <row r="10" customFormat="false" ht="15" hidden="false" customHeight="false" outlineLevel="0" collapsed="false">
      <c r="A10" s="4" t="n">
        <v>8</v>
      </c>
      <c r="B10" s="4" t="str">
        <f aca="false">IFERROR(INDEX(Students!$A$3:$A$114,MATCH(1,INDEX((Students!$K$3:$K$114="5B")*(Students!$L$3:$L$114=8),0),0)),"")</f>
        <v>S-040</v>
      </c>
      <c r="C10" s="4" t="n">
        <f aca="false">IFERROR(INDEX(Students!$B$3:$B$114,MATCH(1,INDEX((Students!$K$3:$K$114="5B")*(Students!$L$3:$L$114=8),0),0)),"")</f>
        <v>512</v>
      </c>
      <c r="D10" s="4" t="str">
        <f aca="false">IFERROR(INDEX(Students!$C$3:$C$114,MATCH(1,INDEX((Students!$K$3:$K$114="5B")*(Students!$L$3:$L$114=8),0),0)),"")</f>
        <v>Grade 4</v>
      </c>
      <c r="E10" s="4" t="n">
        <f aca="false">IFERROR(INDEX(Students!$D$3:$D$114,MATCH(1,INDEX((Students!$K$3:$K$114="5B")*(Students!$L$3:$L$114=8),0),0)),"")</f>
        <v>451</v>
      </c>
      <c r="F10" s="4" t="str">
        <f aca="false">IFERROR(INDEX(Students!$E$3:$E$114,MATCH(1,INDEX((Students!$K$3:$K$114="5B")*(Students!$L$3:$L$114=8),0),0)),"")</f>
        <v>Grade 2</v>
      </c>
    </row>
    <row r="11" customFormat="false" ht="15" hidden="false" customHeight="false" outlineLevel="0" collapsed="false">
      <c r="A11" s="4" t="n">
        <v>9</v>
      </c>
      <c r="B11" s="4" t="str">
        <f aca="false">IFERROR(INDEX(Students!$A$3:$A$114,MATCH(1,INDEX((Students!$K$3:$K$114="5B")*(Students!$L$3:$L$114=9),0),0)),"")</f>
        <v>S-043</v>
      </c>
      <c r="C11" s="4" t="n">
        <f aca="false">IFERROR(INDEX(Students!$B$3:$B$114,MATCH(1,INDEX((Students!$K$3:$K$114="5B")*(Students!$L$3:$L$114=9),0),0)),"")</f>
        <v>539</v>
      </c>
      <c r="D11" s="4" t="str">
        <f aca="false">IFERROR(INDEX(Students!$C$3:$C$114,MATCH(1,INDEX((Students!$K$3:$K$114="5B")*(Students!$L$3:$L$114=9),0),0)),"")</f>
        <v>Grade 5</v>
      </c>
      <c r="E11" s="4" t="n">
        <f aca="false">IFERROR(INDEX(Students!$D$3:$D$114,MATCH(1,INDEX((Students!$K$3:$K$114="5B")*(Students!$L$3:$L$114=9),0),0)),"")</f>
        <v>526</v>
      </c>
      <c r="F11" s="4" t="str">
        <f aca="false">IFERROR(INDEX(Students!$E$3:$E$114,MATCH(1,INDEX((Students!$K$3:$K$114="5B")*(Students!$L$3:$L$114=9),0),0)),"")</f>
        <v>Grade 4</v>
      </c>
    </row>
    <row r="12" customFormat="false" ht="15" hidden="false" customHeight="false" outlineLevel="0" collapsed="false">
      <c r="A12" s="4" t="n">
        <v>10</v>
      </c>
      <c r="B12" s="4" t="str">
        <f aca="false">IFERROR(INDEX(Students!$A$3:$A$114,MATCH(1,INDEX((Students!$K$3:$K$114="5B")*(Students!$L$3:$L$114=10),0),0)),"")</f>
        <v>S-046</v>
      </c>
      <c r="C12" s="4" t="n">
        <f aca="false">IFERROR(INDEX(Students!$B$3:$B$114,MATCH(1,INDEX((Students!$K$3:$K$114="5B")*(Students!$L$3:$L$114=10),0),0)),"")</f>
        <v>440</v>
      </c>
      <c r="D12" s="4" t="str">
        <f aca="false">IFERROR(INDEX(Students!$C$3:$C$114,MATCH(1,INDEX((Students!$K$3:$K$114="5B")*(Students!$L$3:$L$114=10),0),0)),"")</f>
        <v>Grade 2</v>
      </c>
      <c r="E12" s="4" t="n">
        <f aca="false">IFERROR(INDEX(Students!$D$3:$D$114,MATCH(1,INDEX((Students!$K$3:$K$114="5B")*(Students!$L$3:$L$114=10),0),0)),"")</f>
        <v>395</v>
      </c>
      <c r="F12" s="4" t="str">
        <f aca="false">IFERROR(INDEX(Students!$E$3:$E$114,MATCH(1,INDEX((Students!$K$3:$K$114="5B")*(Students!$L$3:$L$114=10),0),0)),"")</f>
        <v>Grade 1</v>
      </c>
    </row>
    <row r="13" customFormat="false" ht="15" hidden="false" customHeight="false" outlineLevel="0" collapsed="false">
      <c r="A13" s="4" t="n">
        <v>11</v>
      </c>
      <c r="B13" s="4" t="str">
        <f aca="false">IFERROR(INDEX(Students!$A$3:$A$114,MATCH(1,INDEX((Students!$K$3:$K$114="5B")*(Students!$L$3:$L$114=11),0),0)),"")</f>
        <v>S-054</v>
      </c>
      <c r="C13" s="4" t="n">
        <f aca="false">IFERROR(INDEX(Students!$B$3:$B$114,MATCH(1,INDEX((Students!$K$3:$K$114="5B")*(Students!$L$3:$L$114=11),0),0)),"")</f>
        <v>524</v>
      </c>
      <c r="D13" s="4" t="str">
        <f aca="false">IFERROR(INDEX(Students!$C$3:$C$114,MATCH(1,INDEX((Students!$K$3:$K$114="5B")*(Students!$L$3:$L$114=11),0),0)),"")</f>
        <v>Grade 4</v>
      </c>
      <c r="E13" s="4" t="n">
        <f aca="false">IFERROR(INDEX(Students!$D$3:$D$114,MATCH(1,INDEX((Students!$K$3:$K$114="5B")*(Students!$L$3:$L$114=11),0),0)),"")</f>
        <v>475</v>
      </c>
      <c r="F13" s="4" t="str">
        <f aca="false">IFERROR(INDEX(Students!$E$3:$E$114,MATCH(1,INDEX((Students!$K$3:$K$114="5B")*(Students!$L$3:$L$114=11),0),0)),"")</f>
        <v>Grade 3</v>
      </c>
    </row>
    <row r="14" customFormat="false" ht="15" hidden="false" customHeight="false" outlineLevel="0" collapsed="false">
      <c r="A14" s="4" t="n">
        <v>12</v>
      </c>
      <c r="B14" s="4" t="str">
        <f aca="false">IFERROR(INDEX(Students!$A$3:$A$114,MATCH(1,INDEX((Students!$K$3:$K$114="5B")*(Students!$L$3:$L$114=12),0),0)),"")</f>
        <v>S-056</v>
      </c>
      <c r="C14" s="4" t="n">
        <f aca="false">IFERROR(INDEX(Students!$B$3:$B$114,MATCH(1,INDEX((Students!$K$3:$K$114="5B")*(Students!$L$3:$L$114=12),0),0)),"")</f>
        <v>541</v>
      </c>
      <c r="D14" s="4" t="str">
        <f aca="false">IFERROR(INDEX(Students!$C$3:$C$114,MATCH(1,INDEX((Students!$K$3:$K$114="5B")*(Students!$L$3:$L$114=12),0),0)),"")</f>
        <v>Grade 5</v>
      </c>
      <c r="E14" s="4" t="n">
        <f aca="false">IFERROR(INDEX(Students!$D$3:$D$114,MATCH(1,INDEX((Students!$K$3:$K$114="5B")*(Students!$L$3:$L$114=12),0),0)),"")</f>
        <v>501</v>
      </c>
      <c r="F14" s="4" t="str">
        <f aca="false">IFERROR(INDEX(Students!$E$3:$E$114,MATCH(1,INDEX((Students!$K$3:$K$114="5B")*(Students!$L$3:$L$114=12),0),0)),"")</f>
        <v>Grade 3</v>
      </c>
    </row>
    <row r="15" customFormat="false" ht="15" hidden="false" customHeight="false" outlineLevel="0" collapsed="false">
      <c r="A15" s="4" t="n">
        <v>13</v>
      </c>
      <c r="B15" s="4" t="str">
        <f aca="false">IFERROR(INDEX(Students!$A$3:$A$114,MATCH(1,INDEX((Students!$K$3:$K$114="5B")*(Students!$L$3:$L$114=13),0),0)),"")</f>
        <v>S-063</v>
      </c>
      <c r="C15" s="4" t="n">
        <f aca="false">IFERROR(INDEX(Students!$B$3:$B$114,MATCH(1,INDEX((Students!$K$3:$K$114="5B")*(Students!$L$3:$L$114=13),0),0)),"")</f>
        <v>550</v>
      </c>
      <c r="D15" s="4" t="str">
        <f aca="false">IFERROR(INDEX(Students!$C$3:$C$114,MATCH(1,INDEX((Students!$K$3:$K$114="5B")*(Students!$L$3:$L$114=13),0),0)),"")</f>
        <v>Grade 5</v>
      </c>
      <c r="E15" s="4" t="n">
        <f aca="false">IFERROR(INDEX(Students!$D$3:$D$114,MATCH(1,INDEX((Students!$K$3:$K$114="5B")*(Students!$L$3:$L$114=13),0),0)),"")</f>
        <v>543</v>
      </c>
      <c r="F15" s="4" t="str">
        <f aca="false">IFERROR(INDEX(Students!$E$3:$E$114,MATCH(1,INDEX((Students!$K$3:$K$114="5B")*(Students!$L$3:$L$114=13),0),0)),"")</f>
        <v>Grade 5</v>
      </c>
    </row>
    <row r="16" customFormat="false" ht="15" hidden="false" customHeight="false" outlineLevel="0" collapsed="false">
      <c r="A16" s="4" t="n">
        <v>14</v>
      </c>
      <c r="B16" s="4" t="str">
        <f aca="false">IFERROR(INDEX(Students!$A$3:$A$114,MATCH(1,INDEX((Students!$K$3:$K$114="5B")*(Students!$L$3:$L$114=14),0),0)),"")</f>
        <v>S-071</v>
      </c>
      <c r="C16" s="4" t="n">
        <f aca="false">IFERROR(INDEX(Students!$B$3:$B$114,MATCH(1,INDEX((Students!$K$3:$K$114="5B")*(Students!$L$3:$L$114=14),0),0)),"")</f>
        <v>433</v>
      </c>
      <c r="D16" s="4" t="str">
        <f aca="false">IFERROR(INDEX(Students!$C$3:$C$114,MATCH(1,INDEX((Students!$K$3:$K$114="5B")*(Students!$L$3:$L$114=14),0),0)),"")</f>
        <v>Grade 2</v>
      </c>
      <c r="E16" s="4" t="n">
        <f aca="false">IFERROR(INDEX(Students!$D$3:$D$114,MATCH(1,INDEX((Students!$K$3:$K$114="5B")*(Students!$L$3:$L$114=14),0),0)),"")</f>
        <v>540</v>
      </c>
      <c r="F16" s="4" t="str">
        <f aca="false">IFERROR(INDEX(Students!$E$3:$E$114,MATCH(1,INDEX((Students!$K$3:$K$114="5B")*(Students!$L$3:$L$114=14),0),0)),"")</f>
        <v>Grade 5</v>
      </c>
    </row>
    <row r="17" customFormat="false" ht="15" hidden="false" customHeight="false" outlineLevel="0" collapsed="false">
      <c r="A17" s="4" t="n">
        <v>15</v>
      </c>
      <c r="B17" s="4" t="str">
        <f aca="false">IFERROR(INDEX(Students!$A$3:$A$114,MATCH(1,INDEX((Students!$K$3:$K$114="5B")*(Students!$L$3:$L$114=15),0),0)),"")</f>
        <v>S-076</v>
      </c>
      <c r="C17" s="4" t="n">
        <f aca="false">IFERROR(INDEX(Students!$B$3:$B$114,MATCH(1,INDEX((Students!$K$3:$K$114="5B")*(Students!$L$3:$L$114=15),0),0)),"")</f>
        <v>519</v>
      </c>
      <c r="D17" s="4" t="str">
        <f aca="false">IFERROR(INDEX(Students!$C$3:$C$114,MATCH(1,INDEX((Students!$K$3:$K$114="5B")*(Students!$L$3:$L$114=15),0),0)),"")</f>
        <v>Grade 4</v>
      </c>
      <c r="E17" s="4" t="n">
        <f aca="false">IFERROR(INDEX(Students!$D$3:$D$114,MATCH(1,INDEX((Students!$K$3:$K$114="5B")*(Students!$L$3:$L$114=15),0),0)),"")</f>
        <v>551</v>
      </c>
      <c r="F17" s="4" t="str">
        <f aca="false">IFERROR(INDEX(Students!$E$3:$E$114,MATCH(1,INDEX((Students!$K$3:$K$114="5B")*(Students!$L$3:$L$114=15),0),0)),"")</f>
        <v>Grade 5</v>
      </c>
    </row>
    <row r="18" customFormat="false" ht="15" hidden="false" customHeight="false" outlineLevel="0" collapsed="false">
      <c r="A18" s="4" t="n">
        <v>16</v>
      </c>
      <c r="B18" s="4" t="str">
        <f aca="false">IFERROR(INDEX(Students!$A$3:$A$114,MATCH(1,INDEX((Students!$K$3:$K$114="5B")*(Students!$L$3:$L$114=16),0),0)),"")</f>
        <v>S-077</v>
      </c>
      <c r="C18" s="4" t="n">
        <f aca="false">IFERROR(INDEX(Students!$B$3:$B$114,MATCH(1,INDEX((Students!$K$3:$K$114="5B")*(Students!$L$3:$L$114=16),0),0)),"")</f>
        <v>495</v>
      </c>
      <c r="D18" s="4" t="str">
        <f aca="false">IFERROR(INDEX(Students!$C$3:$C$114,MATCH(1,INDEX((Students!$K$3:$K$114="5B")*(Students!$L$3:$L$114=16),0),0)),"")</f>
        <v>Grade 3</v>
      </c>
      <c r="E18" s="4" t="n">
        <f aca="false">IFERROR(INDEX(Students!$D$3:$D$114,MATCH(1,INDEX((Students!$K$3:$K$114="5B")*(Students!$L$3:$L$114=16),0),0)),"")</f>
        <v>558</v>
      </c>
      <c r="F18" s="4" t="str">
        <f aca="false">IFERROR(INDEX(Students!$E$3:$E$114,MATCH(1,INDEX((Students!$K$3:$K$114="5B")*(Students!$L$3:$L$114=16),0),0)),"")</f>
        <v>Grade 5</v>
      </c>
    </row>
    <row r="19" customFormat="false" ht="15" hidden="false" customHeight="false" outlineLevel="0" collapsed="false">
      <c r="A19" s="4" t="n">
        <v>17</v>
      </c>
      <c r="B19" s="4" t="str">
        <f aca="false">IFERROR(INDEX(Students!$A$3:$A$114,MATCH(1,INDEX((Students!$K$3:$K$114="5B")*(Students!$L$3:$L$114=17),0),0)),"")</f>
        <v>S-080</v>
      </c>
      <c r="C19" s="4" t="n">
        <f aca="false">IFERROR(INDEX(Students!$B$3:$B$114,MATCH(1,INDEX((Students!$K$3:$K$114="5B")*(Students!$L$3:$L$114=17),0),0)),"")</f>
        <v>410</v>
      </c>
      <c r="D19" s="4" t="str">
        <f aca="false">IFERROR(INDEX(Students!$C$3:$C$114,MATCH(1,INDEX((Students!$K$3:$K$114="5B")*(Students!$L$3:$L$114=17),0),0)),"")</f>
        <v>Grade 1</v>
      </c>
      <c r="E19" s="4" t="n">
        <f aca="false">IFERROR(INDEX(Students!$D$3:$D$114,MATCH(1,INDEX((Students!$K$3:$K$114="5B")*(Students!$L$3:$L$114=17),0),0)),"")</f>
        <v>518</v>
      </c>
      <c r="F19" s="4" t="str">
        <f aca="false">IFERROR(INDEX(Students!$E$3:$E$114,MATCH(1,INDEX((Students!$K$3:$K$114="5B")*(Students!$L$3:$L$114=17),0),0)),"")</f>
        <v>Grade 4</v>
      </c>
    </row>
    <row r="20" customFormat="false" ht="15" hidden="false" customHeight="false" outlineLevel="0" collapsed="false">
      <c r="A20" s="4" t="n">
        <v>18</v>
      </c>
      <c r="B20" s="4" t="str">
        <f aca="false">IFERROR(INDEX(Students!$A$3:$A$114,MATCH(1,INDEX((Students!$K$3:$K$114="5B")*(Students!$L$3:$L$114=18),0),0)),"")</f>
        <v>S-081</v>
      </c>
      <c r="C20" s="4" t="n">
        <f aca="false">IFERROR(INDEX(Students!$B$3:$B$114,MATCH(1,INDEX((Students!$K$3:$K$114="5B")*(Students!$L$3:$L$114=18),0),0)),"")</f>
        <v>538</v>
      </c>
      <c r="D20" s="4" t="str">
        <f aca="false">IFERROR(INDEX(Students!$C$3:$C$114,MATCH(1,INDEX((Students!$K$3:$K$114="5B")*(Students!$L$3:$L$114=18),0),0)),"")</f>
        <v>Grade 5</v>
      </c>
      <c r="E20" s="4" t="n">
        <f aca="false">IFERROR(INDEX(Students!$D$3:$D$114,MATCH(1,INDEX((Students!$K$3:$K$114="5B")*(Students!$L$3:$L$114=18),0),0)),"")</f>
        <v>549</v>
      </c>
      <c r="F20" s="4" t="str">
        <f aca="false">IFERROR(INDEX(Students!$E$3:$E$114,MATCH(1,INDEX((Students!$K$3:$K$114="5B")*(Students!$L$3:$L$114=18),0),0)),"")</f>
        <v>Grade 5</v>
      </c>
    </row>
    <row r="21" customFormat="false" ht="15" hidden="false" customHeight="false" outlineLevel="0" collapsed="false">
      <c r="A21" s="4" t="n">
        <v>19</v>
      </c>
      <c r="B21" s="4" t="str">
        <f aca="false">IFERROR(INDEX(Students!$A$3:$A$114,MATCH(1,INDEX((Students!$K$3:$K$114="5B")*(Students!$L$3:$L$114=19),0),0)),"")</f>
        <v>S-087</v>
      </c>
      <c r="C21" s="4" t="n">
        <f aca="false">IFERROR(INDEX(Students!$B$3:$B$114,MATCH(1,INDEX((Students!$K$3:$K$114="5B")*(Students!$L$3:$L$114=19),0),0)),"")</f>
        <v>417</v>
      </c>
      <c r="D21" s="4" t="str">
        <f aca="false">IFERROR(INDEX(Students!$C$3:$C$114,MATCH(1,INDEX((Students!$K$3:$K$114="5B")*(Students!$L$3:$L$114=19),0),0)),"")</f>
        <v>Grade 1</v>
      </c>
      <c r="E21" s="4" t="n">
        <f aca="false">IFERROR(INDEX(Students!$D$3:$D$114,MATCH(1,INDEX((Students!$K$3:$K$114="5B")*(Students!$L$3:$L$114=19),0),0)),"")</f>
        <v>537</v>
      </c>
      <c r="F21" s="4" t="str">
        <f aca="false">IFERROR(INDEX(Students!$E$3:$E$114,MATCH(1,INDEX((Students!$K$3:$K$114="5B")*(Students!$L$3:$L$114=19),0),0)),"")</f>
        <v>Grade 4</v>
      </c>
    </row>
    <row r="22" customFormat="false" ht="15" hidden="false" customHeight="false" outlineLevel="0" collapsed="false">
      <c r="A22" s="4" t="n">
        <v>20</v>
      </c>
      <c r="B22" s="4" t="str">
        <f aca="false">IFERROR(INDEX(Students!$A$3:$A$114,MATCH(1,INDEX((Students!$K$3:$K$114="5B")*(Students!$L$3:$L$114=20),0),0)),"")</f>
        <v>S-095</v>
      </c>
      <c r="C22" s="4" t="n">
        <f aca="false">IFERROR(INDEX(Students!$B$3:$B$114,MATCH(1,INDEX((Students!$K$3:$K$114="5B")*(Students!$L$3:$L$114=20),0),0)),"")</f>
        <v>507</v>
      </c>
      <c r="D22" s="4" t="str">
        <f aca="false">IFERROR(INDEX(Students!$C$3:$C$114,MATCH(1,INDEX((Students!$K$3:$K$114="5B")*(Students!$L$3:$L$114=20),0),0)),"")</f>
        <v>Grade 4</v>
      </c>
      <c r="E22" s="4" t="n">
        <f aca="false">IFERROR(INDEX(Students!$D$3:$D$114,MATCH(1,INDEX((Students!$K$3:$K$114="5B")*(Students!$L$3:$L$114=20),0),0)),"")</f>
        <v>440</v>
      </c>
      <c r="F22" s="4" t="str">
        <f aca="false">IFERROR(INDEX(Students!$E$3:$E$114,MATCH(1,INDEX((Students!$K$3:$K$114="5B")*(Students!$L$3:$L$114=20),0),0)),"")</f>
        <v>Grade 2</v>
      </c>
    </row>
    <row r="23" customFormat="false" ht="15" hidden="false" customHeight="false" outlineLevel="0" collapsed="false">
      <c r="A23" s="4" t="n">
        <v>21</v>
      </c>
      <c r="B23" s="4" t="str">
        <f aca="false">IFERROR(INDEX(Students!$A$3:$A$114,MATCH(1,INDEX((Students!$K$3:$K$114="5B")*(Students!$L$3:$L$114=21),0),0)),"")</f>
        <v>S-096</v>
      </c>
      <c r="C23" s="4" t="n">
        <f aca="false">IFERROR(INDEX(Students!$B$3:$B$114,MATCH(1,INDEX((Students!$K$3:$K$114="5B")*(Students!$L$3:$L$114=21),0),0)),"")</f>
        <v>473</v>
      </c>
      <c r="D23" s="4" t="str">
        <f aca="false">IFERROR(INDEX(Students!$C$3:$C$114,MATCH(1,INDEX((Students!$K$3:$K$114="5B")*(Students!$L$3:$L$114=21),0),0)),"")</f>
        <v>Grade 3</v>
      </c>
      <c r="E23" s="4" t="n">
        <f aca="false">IFERROR(INDEX(Students!$D$3:$D$114,MATCH(1,INDEX((Students!$K$3:$K$114="5B")*(Students!$L$3:$L$114=21),0),0)),"")</f>
        <v>427</v>
      </c>
      <c r="F23" s="4" t="str">
        <f aca="false">IFERROR(INDEX(Students!$E$3:$E$114,MATCH(1,INDEX((Students!$K$3:$K$114="5B")*(Students!$L$3:$L$114=21),0),0)),"")</f>
        <v>Grade 1</v>
      </c>
    </row>
    <row r="24" customFormat="false" ht="15" hidden="false" customHeight="false" outlineLevel="0" collapsed="false">
      <c r="A24" s="4" t="n">
        <v>22</v>
      </c>
      <c r="B24" s="4" t="str">
        <f aca="false">IFERROR(INDEX(Students!$A$3:$A$114,MATCH(1,INDEX((Students!$K$3:$K$114="5B")*(Students!$L$3:$L$114=22),0),0)),"")</f>
        <v>S-097</v>
      </c>
      <c r="C24" s="4" t="n">
        <f aca="false">IFERROR(INDEX(Students!$B$3:$B$114,MATCH(1,INDEX((Students!$K$3:$K$114="5B")*(Students!$L$3:$L$114=22),0),0)),"")</f>
        <v>537</v>
      </c>
      <c r="D24" s="4" t="str">
        <f aca="false">IFERROR(INDEX(Students!$C$3:$C$114,MATCH(1,INDEX((Students!$K$3:$K$114="5B")*(Students!$L$3:$L$114=22),0),0)),"")</f>
        <v>Grade 5</v>
      </c>
      <c r="E24" s="4" t="n">
        <f aca="false">IFERROR(INDEX(Students!$D$3:$D$114,MATCH(1,INDEX((Students!$K$3:$K$114="5B")*(Students!$L$3:$L$114=22),0),0)),"")</f>
        <v>570</v>
      </c>
      <c r="F24" s="4" t="str">
        <f aca="false">IFERROR(INDEX(Students!$E$3:$E$114,MATCH(1,INDEX((Students!$K$3:$K$114="5B")*(Students!$L$3:$L$114=22),0),0)),"")</f>
        <v>Grade 5</v>
      </c>
    </row>
    <row r="25" customFormat="false" ht="15" hidden="false" customHeight="false" outlineLevel="0" collapsed="false">
      <c r="A25" s="4" t="n">
        <v>23</v>
      </c>
      <c r="B25" s="4" t="str">
        <f aca="false">IFERROR(INDEX(Students!$A$3:$A$114,MATCH(1,INDEX((Students!$K$3:$K$114="5B")*(Students!$L$3:$L$114=23),0),0)),"")</f>
        <v>S-100</v>
      </c>
      <c r="C25" s="4" t="n">
        <f aca="false">IFERROR(INDEX(Students!$B$3:$B$114,MATCH(1,INDEX((Students!$K$3:$K$114="5B")*(Students!$L$3:$L$114=23),0),0)),"")</f>
        <v>526</v>
      </c>
      <c r="D25" s="4" t="str">
        <f aca="false">IFERROR(INDEX(Students!$C$3:$C$114,MATCH(1,INDEX((Students!$K$3:$K$114="5B")*(Students!$L$3:$L$114=23),0),0)),"")</f>
        <v>Grade 4</v>
      </c>
      <c r="E25" s="4" t="n">
        <f aca="false">IFERROR(INDEX(Students!$D$3:$D$114,MATCH(1,INDEX((Students!$K$3:$K$114="5B")*(Students!$L$3:$L$114=23),0),0)),"")</f>
        <v>465</v>
      </c>
      <c r="F25" s="4" t="str">
        <f aca="false">IFERROR(INDEX(Students!$E$3:$E$114,MATCH(1,INDEX((Students!$K$3:$K$114="5B")*(Students!$L$3:$L$114=23),0),0)),"")</f>
        <v>Grade 3</v>
      </c>
    </row>
    <row r="26" customFormat="false" ht="15" hidden="false" customHeight="false" outlineLevel="0" collapsed="false">
      <c r="A26" s="4" t="n">
        <v>24</v>
      </c>
      <c r="B26" s="4" t="str">
        <f aca="false">IFERROR(INDEX(Students!$A$3:$A$114,MATCH(1,INDEX((Students!$K$3:$K$114="5B")*(Students!$L$3:$L$114=24),0),0)),"")</f>
        <v>S-101</v>
      </c>
      <c r="C26" s="4" t="n">
        <f aca="false">IFERROR(INDEX(Students!$B$3:$B$114,MATCH(1,INDEX((Students!$K$3:$K$114="5B")*(Students!$L$3:$L$114=24),0),0)),"")</f>
        <v>489</v>
      </c>
      <c r="D26" s="4" t="str">
        <f aca="false">IFERROR(INDEX(Students!$C$3:$C$114,MATCH(1,INDEX((Students!$K$3:$K$114="5B")*(Students!$L$3:$L$114=24),0),0)),"")</f>
        <v>Grade 3</v>
      </c>
      <c r="E26" s="4" t="n">
        <f aca="false">IFERROR(INDEX(Students!$D$3:$D$114,MATCH(1,INDEX((Students!$K$3:$K$114="5B")*(Students!$L$3:$L$114=24),0),0)),"")</f>
        <v>550</v>
      </c>
      <c r="F26" s="4" t="str">
        <f aca="false">IFERROR(INDEX(Students!$E$3:$E$114,MATCH(1,INDEX((Students!$K$3:$K$114="5B")*(Students!$L$3:$L$114=24),0),0)),"")</f>
        <v>Grade 5</v>
      </c>
    </row>
    <row r="27" customFormat="false" ht="15" hidden="false" customHeight="false" outlineLevel="0" collapsed="false">
      <c r="A27" s="4" t="n">
        <v>25</v>
      </c>
      <c r="B27" s="4" t="str">
        <f aca="false">IFERROR(INDEX(Students!$A$3:$A$114,MATCH(1,INDEX((Students!$K$3:$K$114="5B")*(Students!$L$3:$L$114=25),0),0)),"")</f>
        <v>S-103</v>
      </c>
      <c r="C27" s="4" t="n">
        <f aca="false">IFERROR(INDEX(Students!$B$3:$B$114,MATCH(1,INDEX((Students!$K$3:$K$114="5B")*(Students!$L$3:$L$114=25),0),0)),"")</f>
        <v>469</v>
      </c>
      <c r="D27" s="4" t="str">
        <f aca="false">IFERROR(INDEX(Students!$C$3:$C$114,MATCH(1,INDEX((Students!$K$3:$K$114="5B")*(Students!$L$3:$L$114=25),0),0)),"")</f>
        <v>Grade 2</v>
      </c>
      <c r="E27" s="4" t="n">
        <f aca="false">IFERROR(INDEX(Students!$D$3:$D$114,MATCH(1,INDEX((Students!$K$3:$K$114="5B")*(Students!$L$3:$L$114=25),0),0)),"")</f>
        <v>558</v>
      </c>
      <c r="F27" s="4" t="str">
        <f aca="false">IFERROR(INDEX(Students!$E$3:$E$114,MATCH(1,INDEX((Students!$K$3:$K$114="5B")*(Students!$L$3:$L$114=25),0),0)),"")</f>
        <v>Grade 5</v>
      </c>
    </row>
    <row r="28" customFormat="false" ht="15" hidden="false" customHeight="false" outlineLevel="0" collapsed="false">
      <c r="A28" s="4" t="n">
        <v>26</v>
      </c>
      <c r="B28" s="4" t="str">
        <f aca="false">IFERROR(INDEX(Students!$A$3:$A$114,MATCH(1,INDEX((Students!$K$3:$K$114="5B")*(Students!$L$3:$L$114=26),0),0)),"")</f>
        <v>S-104</v>
      </c>
      <c r="C28" s="4" t="n">
        <f aca="false">IFERROR(INDEX(Students!$B$3:$B$114,MATCH(1,INDEX((Students!$K$3:$K$114="5B")*(Students!$L$3:$L$114=26),0),0)),"")</f>
        <v>501</v>
      </c>
      <c r="D28" s="4" t="str">
        <f aca="false">IFERROR(INDEX(Students!$C$3:$C$114,MATCH(1,INDEX((Students!$K$3:$K$114="5B")*(Students!$L$3:$L$114=26),0),0)),"")</f>
        <v>Grade 4</v>
      </c>
      <c r="E28" s="4" t="n">
        <f aca="false">IFERROR(INDEX(Students!$D$3:$D$114,MATCH(1,INDEX((Students!$K$3:$K$114="5B")*(Students!$L$3:$L$114=26),0),0)),"")</f>
        <v>452</v>
      </c>
      <c r="F28" s="4" t="str">
        <f aca="false">IFERROR(INDEX(Students!$E$3:$E$114,MATCH(1,INDEX((Students!$K$3:$K$114="5B")*(Students!$L$3:$L$114=26),0),0)),"")</f>
        <v>Grade 2</v>
      </c>
    </row>
    <row r="29" customFormat="false" ht="15" hidden="false" customHeight="false" outlineLevel="0" collapsed="false">
      <c r="A29" s="4" t="n">
        <v>27</v>
      </c>
      <c r="B29" s="4" t="str">
        <f aca="false">IFERROR(INDEX(Students!$A$3:$A$114,MATCH(1,INDEX((Students!$K$3:$K$114="5B")*(Students!$L$3:$L$114=27),0),0)),"")</f>
        <v>S-108</v>
      </c>
      <c r="C29" s="4" t="n">
        <f aca="false">IFERROR(INDEX(Students!$B$3:$B$114,MATCH(1,INDEX((Students!$K$3:$K$114="5B")*(Students!$L$3:$L$114=27),0),0)),"")</f>
        <v>513</v>
      </c>
      <c r="D29" s="4" t="str">
        <f aca="false">IFERROR(INDEX(Students!$C$3:$C$114,MATCH(1,INDEX((Students!$K$3:$K$114="5B")*(Students!$L$3:$L$114=27),0),0)),"")</f>
        <v>Grade 4</v>
      </c>
      <c r="E29" s="4" t="n">
        <f aca="false">IFERROR(INDEX(Students!$D$3:$D$114,MATCH(1,INDEX((Students!$K$3:$K$114="5B")*(Students!$L$3:$L$114=27),0),0)),"")</f>
        <v>521</v>
      </c>
      <c r="F29" s="4" t="str">
        <f aca="false">IFERROR(INDEX(Students!$E$3:$E$114,MATCH(1,INDEX((Students!$K$3:$K$114="5B")*(Students!$L$3:$L$114=27),0),0)),"")</f>
        <v>Grade 4</v>
      </c>
    </row>
    <row r="30" customFormat="false" ht="15" hidden="false" customHeight="false" outlineLevel="0" collapsed="false">
      <c r="A30" s="4" t="n">
        <v>28</v>
      </c>
      <c r="B30" s="4" t="str">
        <f aca="false">IFERROR(INDEX(Students!$A$3:$A$114,MATCH(1,INDEX((Students!$K$3:$K$114="5B")*(Students!$L$3:$L$114=28),0),0)),"")</f>
        <v>S-112</v>
      </c>
      <c r="C30" s="4" t="n">
        <f aca="false">IFERROR(INDEX(Students!$B$3:$B$114,MATCH(1,INDEX((Students!$K$3:$K$114="5B")*(Students!$L$3:$L$114=28),0),0)),"")</f>
        <v>470</v>
      </c>
      <c r="D30" s="4" t="str">
        <f aca="false">IFERROR(INDEX(Students!$C$3:$C$114,MATCH(1,INDEX((Students!$K$3:$K$114="5B")*(Students!$L$3:$L$114=28),0),0)),"")</f>
        <v>Grade 3</v>
      </c>
      <c r="E30" s="4" t="n">
        <f aca="false">IFERROR(INDEX(Students!$D$3:$D$114,MATCH(1,INDEX((Students!$K$3:$K$114="5B")*(Students!$L$3:$L$114=28),0),0)),"")</f>
        <v>564</v>
      </c>
      <c r="F30" s="4" t="str">
        <f aca="false">IFERROR(INDEX(Students!$E$3:$E$114,MATCH(1,INDEX((Students!$K$3:$K$114="5B")*(Students!$L$3:$L$114=28),0),0)),"")</f>
        <v>Grade 5</v>
      </c>
    </row>
    <row r="31" customFormat="false" ht="15" hidden="false" customHeight="false" outlineLevel="0" collapsed="false">
      <c r="A31" s="4" t="n">
        <v>29</v>
      </c>
      <c r="B31" s="4" t="str">
        <f aca="false">IFERROR(INDEX(Students!$A$3:$A$114,MATCH(1,INDEX((Students!$K$3:$K$114="5B")*(Students!$L$3:$L$114=29),0),0)),"")</f>
        <v/>
      </c>
      <c r="C31" s="4" t="str">
        <f aca="false">IFERROR(INDEX(Students!$B$3:$B$114,MATCH(1,INDEX((Students!$K$3:$K$114="5B")*(Students!$L$3:$L$114=29),0),0)),"")</f>
        <v/>
      </c>
      <c r="D31" s="4" t="str">
        <f aca="false">IFERROR(INDEX(Students!$C$3:$C$114,MATCH(1,INDEX((Students!$K$3:$K$114="5B")*(Students!$L$3:$L$114=29),0),0)),"")</f>
        <v/>
      </c>
      <c r="E31" s="4" t="str">
        <f aca="false">IFERROR(INDEX(Students!$D$3:$D$114,MATCH(1,INDEX((Students!$K$3:$K$114="5B")*(Students!$L$3:$L$114=29),0),0)),"")</f>
        <v/>
      </c>
      <c r="F31" s="4" t="str">
        <f aca="false">IFERROR(INDEX(Students!$E$3:$E$114,MATCH(1,INDEX((Students!$K$3:$K$114="5B")*(Students!$L$3:$L$114=29),0),0)),"")</f>
        <v/>
      </c>
    </row>
    <row r="32" customFormat="false" ht="15" hidden="false" customHeight="false" outlineLevel="0" collapsed="false">
      <c r="A32" s="4" t="n">
        <v>30</v>
      </c>
      <c r="B32" s="4" t="str">
        <f aca="false">IFERROR(INDEX(Students!$A$3:$A$114,MATCH(1,INDEX((Students!$K$3:$K$114="5B")*(Students!$L$3:$L$114=30),0),0)),"")</f>
        <v/>
      </c>
      <c r="C32" s="4" t="str">
        <f aca="false">IFERROR(INDEX(Students!$B$3:$B$114,MATCH(1,INDEX((Students!$K$3:$K$114="5B")*(Students!$L$3:$L$114=30),0),0)),"")</f>
        <v/>
      </c>
      <c r="D32" s="4" t="str">
        <f aca="false">IFERROR(INDEX(Students!$C$3:$C$114,MATCH(1,INDEX((Students!$K$3:$K$114="5B")*(Students!$L$3:$L$114=30),0),0)),"")</f>
        <v/>
      </c>
      <c r="E32" s="4" t="str">
        <f aca="false">IFERROR(INDEX(Students!$D$3:$D$114,MATCH(1,INDEX((Students!$K$3:$K$114="5B")*(Students!$L$3:$L$114=30),0),0)),"")</f>
        <v/>
      </c>
      <c r="F32" s="4" t="str">
        <f aca="false">IFERROR(INDEX(Students!$E$3:$E$114,MATCH(1,INDEX((Students!$K$3:$K$114="5B")*(Students!$L$3:$L$114=30),0),0)),"")</f>
        <v/>
      </c>
    </row>
    <row r="33" customFormat="false" ht="15" hidden="false" customHeight="false" outlineLevel="0" collapsed="false">
      <c r="A33" s="4" t="n">
        <v>31</v>
      </c>
      <c r="B33" s="4" t="str">
        <f aca="false">IFERROR(INDEX(Students!$A$3:$A$114,MATCH(1,INDEX((Students!$K$3:$K$114="5B")*(Students!$L$3:$L$114=31),0),0)),"")</f>
        <v/>
      </c>
      <c r="C33" s="4" t="str">
        <f aca="false">IFERROR(INDEX(Students!$B$3:$B$114,MATCH(1,INDEX((Students!$K$3:$K$114="5B")*(Students!$L$3:$L$114=31),0),0)),"")</f>
        <v/>
      </c>
      <c r="D33" s="4" t="str">
        <f aca="false">IFERROR(INDEX(Students!$C$3:$C$114,MATCH(1,INDEX((Students!$K$3:$K$114="5B")*(Students!$L$3:$L$114=31),0),0)),"")</f>
        <v/>
      </c>
      <c r="E33" s="4" t="str">
        <f aca="false">IFERROR(INDEX(Students!$D$3:$D$114,MATCH(1,INDEX((Students!$K$3:$K$114="5B")*(Students!$L$3:$L$114=31),0),0)),"")</f>
        <v/>
      </c>
      <c r="F33" s="4" t="str">
        <f aca="false">IFERROR(INDEX(Students!$E$3:$E$114,MATCH(1,INDEX((Students!$K$3:$K$114="5B")*(Students!$L$3:$L$114=31),0),0)),"")</f>
        <v/>
      </c>
    </row>
    <row r="34" customFormat="false" ht="15" hidden="false" customHeight="false" outlineLevel="0" collapsed="false">
      <c r="A34" s="4" t="n">
        <v>32</v>
      </c>
      <c r="B34" s="4" t="str">
        <f aca="false">IFERROR(INDEX(Students!$A$3:$A$114,MATCH(1,INDEX((Students!$K$3:$K$114="5B")*(Students!$L$3:$L$114=32),0),0)),"")</f>
        <v/>
      </c>
      <c r="C34" s="4" t="str">
        <f aca="false">IFERROR(INDEX(Students!$B$3:$B$114,MATCH(1,INDEX((Students!$K$3:$K$114="5B")*(Students!$L$3:$L$114=32),0),0)),"")</f>
        <v/>
      </c>
      <c r="D34" s="4" t="str">
        <f aca="false">IFERROR(INDEX(Students!$C$3:$C$114,MATCH(1,INDEX((Students!$K$3:$K$114="5B")*(Students!$L$3:$L$114=32),0),0)),"")</f>
        <v/>
      </c>
      <c r="E34" s="4" t="str">
        <f aca="false">IFERROR(INDEX(Students!$D$3:$D$114,MATCH(1,INDEX((Students!$K$3:$K$114="5B")*(Students!$L$3:$L$114=32),0),0)),"")</f>
        <v/>
      </c>
      <c r="F34" s="4" t="str">
        <f aca="false">IFERROR(INDEX(Students!$E$3:$E$114,MATCH(1,INDEX((Students!$K$3:$K$114="5B")*(Students!$L$3:$L$114=32),0),0)),"")</f>
        <v/>
      </c>
    </row>
    <row r="35" customFormat="false" ht="15" hidden="false" customHeight="false" outlineLevel="0" collapsed="false">
      <c r="A35" s="4" t="n">
        <v>33</v>
      </c>
      <c r="B35" s="4" t="str">
        <f aca="false">IFERROR(INDEX(Students!$A$3:$A$114,MATCH(1,INDEX((Students!$K$3:$K$114="5B")*(Students!$L$3:$L$114=33),0),0)),"")</f>
        <v/>
      </c>
      <c r="C35" s="4" t="str">
        <f aca="false">IFERROR(INDEX(Students!$B$3:$B$114,MATCH(1,INDEX((Students!$K$3:$K$114="5B")*(Students!$L$3:$L$114=33),0),0)),"")</f>
        <v/>
      </c>
      <c r="D35" s="4" t="str">
        <f aca="false">IFERROR(INDEX(Students!$C$3:$C$114,MATCH(1,INDEX((Students!$K$3:$K$114="5B")*(Students!$L$3:$L$114=33),0),0)),"")</f>
        <v/>
      </c>
      <c r="E35" s="4" t="str">
        <f aca="false">IFERROR(INDEX(Students!$D$3:$D$114,MATCH(1,INDEX((Students!$K$3:$K$114="5B")*(Students!$L$3:$L$114=33),0),0)),"")</f>
        <v/>
      </c>
      <c r="F35" s="4" t="str">
        <f aca="false">IFERROR(INDEX(Students!$E$3:$E$114,MATCH(1,INDEX((Students!$K$3:$K$114="5B")*(Students!$L$3:$L$114=33),0),0)),"")</f>
        <v/>
      </c>
    </row>
    <row r="36" customFormat="false" ht="15" hidden="false" customHeight="false" outlineLevel="0" collapsed="false">
      <c r="A36" s="4" t="n">
        <v>34</v>
      </c>
      <c r="B36" s="4" t="str">
        <f aca="false">IFERROR(INDEX(Students!$A$3:$A$114,MATCH(1,INDEX((Students!$K$3:$K$114="5B")*(Students!$L$3:$L$114=34),0),0)),"")</f>
        <v/>
      </c>
      <c r="C36" s="4" t="str">
        <f aca="false">IFERROR(INDEX(Students!$B$3:$B$114,MATCH(1,INDEX((Students!$K$3:$K$114="5B")*(Students!$L$3:$L$114=34),0),0)),"")</f>
        <v/>
      </c>
      <c r="D36" s="4" t="str">
        <f aca="false">IFERROR(INDEX(Students!$C$3:$C$114,MATCH(1,INDEX((Students!$K$3:$K$114="5B")*(Students!$L$3:$L$114=34),0),0)),"")</f>
        <v/>
      </c>
      <c r="E36" s="4" t="str">
        <f aca="false">IFERROR(INDEX(Students!$D$3:$D$114,MATCH(1,INDEX((Students!$K$3:$K$114="5B")*(Students!$L$3:$L$114=34),0),0)),"")</f>
        <v/>
      </c>
      <c r="F36" s="4" t="str">
        <f aca="false">IFERROR(INDEX(Students!$E$3:$E$114,MATCH(1,INDEX((Students!$K$3:$K$114="5B")*(Students!$L$3:$L$114=34),0),0)),"")</f>
        <v/>
      </c>
    </row>
    <row r="37" customFormat="false" ht="15" hidden="false" customHeight="false" outlineLevel="0" collapsed="false">
      <c r="A37" s="4" t="n">
        <v>35</v>
      </c>
      <c r="B37" s="4" t="str">
        <f aca="false">IFERROR(INDEX(Students!$A$3:$A$114,MATCH(1,INDEX((Students!$K$3:$K$114="5B")*(Students!$L$3:$L$114=35),0),0)),"")</f>
        <v/>
      </c>
      <c r="C37" s="4" t="str">
        <f aca="false">IFERROR(INDEX(Students!$B$3:$B$114,MATCH(1,INDEX((Students!$K$3:$K$114="5B")*(Students!$L$3:$L$114=35),0),0)),"")</f>
        <v/>
      </c>
      <c r="D37" s="4" t="str">
        <f aca="false">IFERROR(INDEX(Students!$C$3:$C$114,MATCH(1,INDEX((Students!$K$3:$K$114="5B")*(Students!$L$3:$L$114=35),0),0)),"")</f>
        <v/>
      </c>
      <c r="E37" s="4" t="str">
        <f aca="false">IFERROR(INDEX(Students!$D$3:$D$114,MATCH(1,INDEX((Students!$K$3:$K$114="5B")*(Students!$L$3:$L$114=35),0),0)),"")</f>
        <v/>
      </c>
      <c r="F37" s="4" t="str">
        <f aca="false">IFERROR(INDEX(Students!$E$3:$E$114,MATCH(1,INDEX((Students!$K$3:$K$114="5B")*(Students!$L$3:$L$114=35),0),0)),"")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6" t="s">
        <v>156</v>
      </c>
      <c r="B1" s="2"/>
      <c r="C1" s="2"/>
      <c r="D1" s="2"/>
      <c r="E1" s="2"/>
      <c r="F1" s="2"/>
    </row>
    <row r="2" customFormat="false" ht="33.75" hidden="false" customHeight="true" outlineLevel="0" collapsed="false">
      <c r="A2" s="3" t="s">
        <v>154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customFormat="false" ht="15" hidden="false" customHeight="false" outlineLevel="0" collapsed="false">
      <c r="A3" s="4" t="n">
        <v>1</v>
      </c>
      <c r="B3" s="4" t="str">
        <f aca="false">IFERROR(INDEX(Students!$A$3:$A$114,MATCH(1,INDEX((Students!$K$3:$K$114="5C")*(Students!$L$3:$L$114=1),0),0)),"")</f>
        <v>S-004</v>
      </c>
      <c r="C3" s="4" t="n">
        <f aca="false">IFERROR(INDEX(Students!$B$3:$B$114,MATCH(1,INDEX((Students!$K$3:$K$114="5C")*(Students!$L$3:$L$114=1),0),0)),"")</f>
        <v>548</v>
      </c>
      <c r="D3" s="4" t="str">
        <f aca="false">IFERROR(INDEX(Students!$C$3:$C$114,MATCH(1,INDEX((Students!$K$3:$K$114="5C")*(Students!$L$3:$L$114=1),0),0)),"")</f>
        <v>Grade 5</v>
      </c>
      <c r="E3" s="4" t="n">
        <f aca="false">IFERROR(INDEX(Students!$D$3:$D$114,MATCH(1,INDEX((Students!$K$3:$K$114="5C")*(Students!$L$3:$L$114=1),0),0)),"")</f>
        <v>535</v>
      </c>
      <c r="F3" s="4" t="str">
        <f aca="false">IFERROR(INDEX(Students!$E$3:$E$114,MATCH(1,INDEX((Students!$K$3:$K$114="5C")*(Students!$L$3:$L$114=1),0),0)),"")</f>
        <v>Grade 4</v>
      </c>
    </row>
    <row r="4" customFormat="false" ht="15" hidden="false" customHeight="false" outlineLevel="0" collapsed="false">
      <c r="A4" s="4" t="n">
        <v>2</v>
      </c>
      <c r="B4" s="4" t="str">
        <f aca="false">IFERROR(INDEX(Students!$A$3:$A$114,MATCH(1,INDEX((Students!$K$3:$K$114="5C")*(Students!$L$3:$L$114=2),0),0)),"")</f>
        <v>S-005</v>
      </c>
      <c r="C4" s="4" t="n">
        <f aca="false">IFERROR(INDEX(Students!$B$3:$B$114,MATCH(1,INDEX((Students!$K$3:$K$114="5C")*(Students!$L$3:$L$114=2),0),0)),"")</f>
        <v>454</v>
      </c>
      <c r="D4" s="4" t="str">
        <f aca="false">IFERROR(INDEX(Students!$C$3:$C$114,MATCH(1,INDEX((Students!$K$3:$K$114="5C")*(Students!$L$3:$L$114=2),0),0)),"")</f>
        <v>Grade 2</v>
      </c>
      <c r="E4" s="4" t="n">
        <f aca="false">IFERROR(INDEX(Students!$D$3:$D$114,MATCH(1,INDEX((Students!$K$3:$K$114="5C")*(Students!$L$3:$L$114=2),0),0)),"")</f>
        <v>568</v>
      </c>
      <c r="F4" s="4" t="str">
        <f aca="false">IFERROR(INDEX(Students!$E$3:$E$114,MATCH(1,INDEX((Students!$K$3:$K$114="5C")*(Students!$L$3:$L$114=2),0),0)),"")</f>
        <v>Grade 5</v>
      </c>
    </row>
    <row r="5" customFormat="false" ht="15" hidden="false" customHeight="false" outlineLevel="0" collapsed="false">
      <c r="A5" s="4" t="n">
        <v>3</v>
      </c>
      <c r="B5" s="4" t="str">
        <f aca="false">IFERROR(INDEX(Students!$A$3:$A$114,MATCH(1,INDEX((Students!$K$3:$K$114="5C")*(Students!$L$3:$L$114=3),0),0)),"")</f>
        <v>S-013</v>
      </c>
      <c r="C5" s="4" t="n">
        <f aca="false">IFERROR(INDEX(Students!$B$3:$B$114,MATCH(1,INDEX((Students!$K$3:$K$114="5C")*(Students!$L$3:$L$114=3),0),0)),"")</f>
        <v>572</v>
      </c>
      <c r="D5" s="4" t="str">
        <f aca="false">IFERROR(INDEX(Students!$C$3:$C$114,MATCH(1,INDEX((Students!$K$3:$K$114="5C")*(Students!$L$3:$L$114=3),0),0)),"")</f>
        <v>Grade 5</v>
      </c>
      <c r="E5" s="4" t="n">
        <f aca="false">IFERROR(INDEX(Students!$D$3:$D$114,MATCH(1,INDEX((Students!$K$3:$K$114="5C")*(Students!$L$3:$L$114=3),0),0)),"")</f>
        <v>546</v>
      </c>
      <c r="F5" s="4" t="str">
        <f aca="false">IFERROR(INDEX(Students!$E$3:$E$114,MATCH(1,INDEX((Students!$K$3:$K$114="5C")*(Students!$L$3:$L$114=3),0),0)),"")</f>
        <v>Grade 5</v>
      </c>
    </row>
    <row r="6" customFormat="false" ht="15" hidden="false" customHeight="false" outlineLevel="0" collapsed="false">
      <c r="A6" s="4" t="n">
        <v>4</v>
      </c>
      <c r="B6" s="4" t="str">
        <f aca="false">IFERROR(INDEX(Students!$A$3:$A$114,MATCH(1,INDEX((Students!$K$3:$K$114="5C")*(Students!$L$3:$L$114=4),0),0)),"")</f>
        <v>S-014</v>
      </c>
      <c r="C6" s="4" t="n">
        <f aca="false">IFERROR(INDEX(Students!$B$3:$B$114,MATCH(1,INDEX((Students!$K$3:$K$114="5C")*(Students!$L$3:$L$114=4),0),0)),"")</f>
        <v>442</v>
      </c>
      <c r="D6" s="4" t="str">
        <f aca="false">IFERROR(INDEX(Students!$C$3:$C$114,MATCH(1,INDEX((Students!$K$3:$K$114="5C")*(Students!$L$3:$L$114=4),0),0)),"")</f>
        <v>Grade 2</v>
      </c>
      <c r="E6" s="4" t="n">
        <f aca="false">IFERROR(INDEX(Students!$D$3:$D$114,MATCH(1,INDEX((Students!$K$3:$K$114="5C")*(Students!$L$3:$L$114=4),0),0)),"")</f>
        <v>414</v>
      </c>
      <c r="F6" s="4" t="str">
        <f aca="false">IFERROR(INDEX(Students!$E$3:$E$114,MATCH(1,INDEX((Students!$K$3:$K$114="5C")*(Students!$L$3:$L$114=4),0),0)),"")</f>
        <v>Grade 1</v>
      </c>
    </row>
    <row r="7" customFormat="false" ht="15" hidden="false" customHeight="false" outlineLevel="0" collapsed="false">
      <c r="A7" s="4" t="n">
        <v>5</v>
      </c>
      <c r="B7" s="4" t="str">
        <f aca="false">IFERROR(INDEX(Students!$A$3:$A$114,MATCH(1,INDEX((Students!$K$3:$K$114="5C")*(Students!$L$3:$L$114=5),0),0)),"")</f>
        <v>S-016</v>
      </c>
      <c r="C7" s="4" t="n">
        <f aca="false">IFERROR(INDEX(Students!$B$3:$B$114,MATCH(1,INDEX((Students!$K$3:$K$114="5C")*(Students!$L$3:$L$114=5),0),0)),"")</f>
        <v>522</v>
      </c>
      <c r="D7" s="4" t="str">
        <f aca="false">IFERROR(INDEX(Students!$C$3:$C$114,MATCH(1,INDEX((Students!$K$3:$K$114="5C")*(Students!$L$3:$L$114=5),0),0)),"")</f>
        <v>Grade 4</v>
      </c>
      <c r="E7" s="4" t="n">
        <f aca="false">IFERROR(INDEX(Students!$D$3:$D$114,MATCH(1,INDEX((Students!$K$3:$K$114="5C")*(Students!$L$3:$L$114=5),0),0)),"")</f>
        <v>483</v>
      </c>
      <c r="F7" s="4" t="str">
        <f aca="false">IFERROR(INDEX(Students!$E$3:$E$114,MATCH(1,INDEX((Students!$K$3:$K$114="5C")*(Students!$L$3:$L$114=5),0),0)),"")</f>
        <v>Grade 3</v>
      </c>
    </row>
    <row r="8" customFormat="false" ht="15" hidden="false" customHeight="false" outlineLevel="0" collapsed="false">
      <c r="A8" s="4" t="n">
        <v>6</v>
      </c>
      <c r="B8" s="4" t="str">
        <f aca="false">IFERROR(INDEX(Students!$A$3:$A$114,MATCH(1,INDEX((Students!$K$3:$K$114="5C")*(Students!$L$3:$L$114=6),0),0)),"")</f>
        <v>S-018</v>
      </c>
      <c r="C8" s="4" t="n">
        <f aca="false">IFERROR(INDEX(Students!$B$3:$B$114,MATCH(1,INDEX((Students!$K$3:$K$114="5C")*(Students!$L$3:$L$114=6),0),0)),"")</f>
        <v>467</v>
      </c>
      <c r="D8" s="4" t="str">
        <f aca="false">IFERROR(INDEX(Students!$C$3:$C$114,MATCH(1,INDEX((Students!$K$3:$K$114="5C")*(Students!$L$3:$L$114=6),0),0)),"")</f>
        <v>Grade 3</v>
      </c>
      <c r="E8" s="4" t="n">
        <f aca="false">IFERROR(INDEX(Students!$D$3:$D$114,MATCH(1,INDEX((Students!$K$3:$K$114="5C")*(Students!$L$3:$L$114=6),0),0)),"")</f>
        <v>574</v>
      </c>
      <c r="F8" s="4" t="str">
        <f aca="false">IFERROR(INDEX(Students!$E$3:$E$114,MATCH(1,INDEX((Students!$K$3:$K$114="5C")*(Students!$L$3:$L$114=6),0),0)),"")</f>
        <v>Grade 5</v>
      </c>
    </row>
    <row r="9" customFormat="false" ht="15" hidden="false" customHeight="false" outlineLevel="0" collapsed="false">
      <c r="A9" s="4" t="n">
        <v>7</v>
      </c>
      <c r="B9" s="4" t="str">
        <f aca="false">IFERROR(INDEX(Students!$A$3:$A$114,MATCH(1,INDEX((Students!$K$3:$K$114="5C")*(Students!$L$3:$L$114=7),0),0)),"")</f>
        <v>S-024</v>
      </c>
      <c r="C9" s="4" t="n">
        <f aca="false">IFERROR(INDEX(Students!$B$3:$B$114,MATCH(1,INDEX((Students!$K$3:$K$114="5C")*(Students!$L$3:$L$114=7),0),0)),"")</f>
        <v>411</v>
      </c>
      <c r="D9" s="4" t="str">
        <f aca="false">IFERROR(INDEX(Students!$C$3:$C$114,MATCH(1,INDEX((Students!$K$3:$K$114="5C")*(Students!$L$3:$L$114=7),0),0)),"")</f>
        <v>Grade 1</v>
      </c>
      <c r="E9" s="4" t="n">
        <f aca="false">IFERROR(INDEX(Students!$D$3:$D$114,MATCH(1,INDEX((Students!$K$3:$K$114="5C")*(Students!$L$3:$L$114=7),0),0)),"")</f>
        <v>524</v>
      </c>
      <c r="F9" s="4" t="str">
        <f aca="false">IFERROR(INDEX(Students!$E$3:$E$114,MATCH(1,INDEX((Students!$K$3:$K$114="5C")*(Students!$L$3:$L$114=7),0),0)),"")</f>
        <v>Grade 4</v>
      </c>
    </row>
    <row r="10" customFormat="false" ht="15" hidden="false" customHeight="false" outlineLevel="0" collapsed="false">
      <c r="A10" s="4" t="n">
        <v>8</v>
      </c>
      <c r="B10" s="4" t="str">
        <f aca="false">IFERROR(INDEX(Students!$A$3:$A$114,MATCH(1,INDEX((Students!$K$3:$K$114="5C")*(Students!$L$3:$L$114=8),0),0)),"")</f>
        <v>S-031</v>
      </c>
      <c r="C10" s="4" t="n">
        <f aca="false">IFERROR(INDEX(Students!$B$3:$B$114,MATCH(1,INDEX((Students!$K$3:$K$114="5C")*(Students!$L$3:$L$114=8),0),0)),"")</f>
        <v>457</v>
      </c>
      <c r="D10" s="4" t="str">
        <f aca="false">IFERROR(INDEX(Students!$C$3:$C$114,MATCH(1,INDEX((Students!$K$3:$K$114="5C")*(Students!$L$3:$L$114=8),0),0)),"")</f>
        <v>Grade 2</v>
      </c>
      <c r="E10" s="4" t="n">
        <f aca="false">IFERROR(INDEX(Students!$D$3:$D$114,MATCH(1,INDEX((Students!$K$3:$K$114="5C")*(Students!$L$3:$L$114=8),0),0)),"")</f>
        <v>551</v>
      </c>
      <c r="F10" s="4" t="str">
        <f aca="false">IFERROR(INDEX(Students!$E$3:$E$114,MATCH(1,INDEX((Students!$K$3:$K$114="5C")*(Students!$L$3:$L$114=8),0),0)),"")</f>
        <v>Grade 5</v>
      </c>
    </row>
    <row r="11" customFormat="false" ht="15" hidden="false" customHeight="false" outlineLevel="0" collapsed="false">
      <c r="A11" s="4" t="n">
        <v>9</v>
      </c>
      <c r="B11" s="4" t="str">
        <f aca="false">IFERROR(INDEX(Students!$A$3:$A$114,MATCH(1,INDEX((Students!$K$3:$K$114="5C")*(Students!$L$3:$L$114=9),0),0)),"")</f>
        <v>S-033</v>
      </c>
      <c r="C11" s="4" t="n">
        <f aca="false">IFERROR(INDEX(Students!$B$3:$B$114,MATCH(1,INDEX((Students!$K$3:$K$114="5C")*(Students!$L$3:$L$114=9),0),0)),"")</f>
        <v>468</v>
      </c>
      <c r="D11" s="4" t="str">
        <f aca="false">IFERROR(INDEX(Students!$C$3:$C$114,MATCH(1,INDEX((Students!$K$3:$K$114="5C")*(Students!$L$3:$L$114=9),0),0)),"")</f>
        <v>Grade 2</v>
      </c>
      <c r="E11" s="4" t="n">
        <f aca="false">IFERROR(INDEX(Students!$D$3:$D$114,MATCH(1,INDEX((Students!$K$3:$K$114="5C")*(Students!$L$3:$L$114=9),0),0)),"")</f>
        <v>526</v>
      </c>
      <c r="F11" s="4" t="str">
        <f aca="false">IFERROR(INDEX(Students!$E$3:$E$114,MATCH(1,INDEX((Students!$K$3:$K$114="5C")*(Students!$L$3:$L$114=9),0),0)),"")</f>
        <v>Grade 4</v>
      </c>
    </row>
    <row r="12" customFormat="false" ht="15" hidden="false" customHeight="false" outlineLevel="0" collapsed="false">
      <c r="A12" s="4" t="n">
        <v>10</v>
      </c>
      <c r="B12" s="4" t="str">
        <f aca="false">IFERROR(INDEX(Students!$A$3:$A$114,MATCH(1,INDEX((Students!$K$3:$K$114="5C")*(Students!$L$3:$L$114=10),0),0)),"")</f>
        <v>S-035</v>
      </c>
      <c r="C12" s="4" t="n">
        <f aca="false">IFERROR(INDEX(Students!$B$3:$B$114,MATCH(1,INDEX((Students!$K$3:$K$114="5C")*(Students!$L$3:$L$114=10),0),0)),"")</f>
        <v>569</v>
      </c>
      <c r="D12" s="4" t="str">
        <f aca="false">IFERROR(INDEX(Students!$C$3:$C$114,MATCH(1,INDEX((Students!$K$3:$K$114="5C")*(Students!$L$3:$L$114=10),0),0)),"")</f>
        <v>Grade 5</v>
      </c>
      <c r="E12" s="4" t="n">
        <f aca="false">IFERROR(INDEX(Students!$D$3:$D$114,MATCH(1,INDEX((Students!$K$3:$K$114="5C")*(Students!$L$3:$L$114=10),0),0)),"")</f>
        <v>460</v>
      </c>
      <c r="F12" s="4" t="str">
        <f aca="false">IFERROR(INDEX(Students!$E$3:$E$114,MATCH(1,INDEX((Students!$K$3:$K$114="5C")*(Students!$L$3:$L$114=10),0),0)),"")</f>
        <v>Grade 2</v>
      </c>
    </row>
    <row r="13" customFormat="false" ht="15" hidden="false" customHeight="false" outlineLevel="0" collapsed="false">
      <c r="A13" s="4" t="n">
        <v>11</v>
      </c>
      <c r="B13" s="4" t="str">
        <f aca="false">IFERROR(INDEX(Students!$A$3:$A$114,MATCH(1,INDEX((Students!$K$3:$K$114="5C")*(Students!$L$3:$L$114=11),0),0)),"")</f>
        <v>S-044</v>
      </c>
      <c r="C13" s="4" t="n">
        <f aca="false">IFERROR(INDEX(Students!$B$3:$B$114,MATCH(1,INDEX((Students!$K$3:$K$114="5C")*(Students!$L$3:$L$114=11),0),0)),"")</f>
        <v>545</v>
      </c>
      <c r="D13" s="4" t="str">
        <f aca="false">IFERROR(INDEX(Students!$C$3:$C$114,MATCH(1,INDEX((Students!$K$3:$K$114="5C")*(Students!$L$3:$L$114=11),0),0)),"")</f>
        <v>Grade 5</v>
      </c>
      <c r="E13" s="4" t="n">
        <f aca="false">IFERROR(INDEX(Students!$D$3:$D$114,MATCH(1,INDEX((Students!$K$3:$K$114="5C")*(Students!$L$3:$L$114=11),0),0)),"")</f>
        <v>510</v>
      </c>
      <c r="F13" s="4" t="str">
        <f aca="false">IFERROR(INDEX(Students!$E$3:$E$114,MATCH(1,INDEX((Students!$K$3:$K$114="5C")*(Students!$L$3:$L$114=11),0),0)),"")</f>
        <v>Grade 4</v>
      </c>
    </row>
    <row r="14" customFormat="false" ht="15" hidden="false" customHeight="false" outlineLevel="0" collapsed="false">
      <c r="A14" s="4" t="n">
        <v>12</v>
      </c>
      <c r="B14" s="4" t="str">
        <f aca="false">IFERROR(INDEX(Students!$A$3:$A$114,MATCH(1,INDEX((Students!$K$3:$K$114="5C")*(Students!$L$3:$L$114=12),0),0)),"")</f>
        <v>S-049</v>
      </c>
      <c r="C14" s="4" t="n">
        <f aca="false">IFERROR(INDEX(Students!$B$3:$B$114,MATCH(1,INDEX((Students!$K$3:$K$114="5C")*(Students!$L$3:$L$114=12),0),0)),"")</f>
        <v>536</v>
      </c>
      <c r="D14" s="4" t="str">
        <f aca="false">IFERROR(INDEX(Students!$C$3:$C$114,MATCH(1,INDEX((Students!$K$3:$K$114="5C")*(Students!$L$3:$L$114=12),0),0)),"")</f>
        <v>Grade 4</v>
      </c>
      <c r="E14" s="4" t="n">
        <f aca="false">IFERROR(INDEX(Students!$D$3:$D$114,MATCH(1,INDEX((Students!$K$3:$K$114="5C")*(Students!$L$3:$L$114=12),0),0)),"")</f>
        <v>502</v>
      </c>
      <c r="F14" s="4" t="str">
        <f aca="false">IFERROR(INDEX(Students!$E$3:$E$114,MATCH(1,INDEX((Students!$K$3:$K$114="5C")*(Students!$L$3:$L$114=12),0),0)),"")</f>
        <v>Grade 4</v>
      </c>
    </row>
    <row r="15" customFormat="false" ht="15" hidden="false" customHeight="false" outlineLevel="0" collapsed="false">
      <c r="A15" s="4" t="n">
        <v>13</v>
      </c>
      <c r="B15" s="4" t="str">
        <f aca="false">IFERROR(INDEX(Students!$A$3:$A$114,MATCH(1,INDEX((Students!$K$3:$K$114="5C")*(Students!$L$3:$L$114=13),0),0)),"")</f>
        <v>S-050</v>
      </c>
      <c r="C15" s="4" t="n">
        <f aca="false">IFERROR(INDEX(Students!$B$3:$B$114,MATCH(1,INDEX((Students!$K$3:$K$114="5C")*(Students!$L$3:$L$114=13),0),0)),"")</f>
        <v>505</v>
      </c>
      <c r="D15" s="4" t="str">
        <f aca="false">IFERROR(INDEX(Students!$C$3:$C$114,MATCH(1,INDEX((Students!$K$3:$K$114="5C")*(Students!$L$3:$L$114=13),0),0)),"")</f>
        <v>Grade 4</v>
      </c>
      <c r="E15" s="4" t="n">
        <f aca="false">IFERROR(INDEX(Students!$D$3:$D$114,MATCH(1,INDEX((Students!$K$3:$K$114="5C")*(Students!$L$3:$L$114=13),0),0)),"")</f>
        <v>537</v>
      </c>
      <c r="F15" s="4" t="str">
        <f aca="false">IFERROR(INDEX(Students!$E$3:$E$114,MATCH(1,INDEX((Students!$K$3:$K$114="5C")*(Students!$L$3:$L$114=13),0),0)),"")</f>
        <v>Grade 4</v>
      </c>
    </row>
    <row r="16" customFormat="false" ht="15" hidden="false" customHeight="false" outlineLevel="0" collapsed="false">
      <c r="A16" s="4" t="n">
        <v>14</v>
      </c>
      <c r="B16" s="4" t="str">
        <f aca="false">IFERROR(INDEX(Students!$A$3:$A$114,MATCH(1,INDEX((Students!$K$3:$K$114="5C")*(Students!$L$3:$L$114=14),0),0)),"")</f>
        <v>S-051</v>
      </c>
      <c r="C16" s="4" t="n">
        <f aca="false">IFERROR(INDEX(Students!$B$3:$B$114,MATCH(1,INDEX((Students!$K$3:$K$114="5C")*(Students!$L$3:$L$114=14),0),0)),"")</f>
        <v>503</v>
      </c>
      <c r="D16" s="4" t="str">
        <f aca="false">IFERROR(INDEX(Students!$C$3:$C$114,MATCH(1,INDEX((Students!$K$3:$K$114="5C")*(Students!$L$3:$L$114=14),0),0)),"")</f>
        <v>Grade 4</v>
      </c>
      <c r="E16" s="4" t="n">
        <f aca="false">IFERROR(INDEX(Students!$D$3:$D$114,MATCH(1,INDEX((Students!$K$3:$K$114="5C")*(Students!$L$3:$L$114=14),0),0)),"")</f>
        <v>413</v>
      </c>
      <c r="F16" s="4" t="str">
        <f aca="false">IFERROR(INDEX(Students!$E$3:$E$114,MATCH(1,INDEX((Students!$K$3:$K$114="5C")*(Students!$L$3:$L$114=14),0),0)),"")</f>
        <v>Grade 1</v>
      </c>
    </row>
    <row r="17" customFormat="false" ht="15" hidden="false" customHeight="false" outlineLevel="0" collapsed="false">
      <c r="A17" s="4" t="n">
        <v>15</v>
      </c>
      <c r="B17" s="4" t="str">
        <f aca="false">IFERROR(INDEX(Students!$A$3:$A$114,MATCH(1,INDEX((Students!$K$3:$K$114="5C")*(Students!$L$3:$L$114=15),0),0)),"")</f>
        <v>S-053</v>
      </c>
      <c r="C17" s="4" t="n">
        <f aca="false">IFERROR(INDEX(Students!$B$3:$B$114,MATCH(1,INDEX((Students!$K$3:$K$114="5C")*(Students!$L$3:$L$114=15),0),0)),"")</f>
        <v>431</v>
      </c>
      <c r="D17" s="4" t="str">
        <f aca="false">IFERROR(INDEX(Students!$C$3:$C$114,MATCH(1,INDEX((Students!$K$3:$K$114="5C")*(Students!$L$3:$L$114=15),0),0)),"")</f>
        <v>Grade 2</v>
      </c>
      <c r="E17" s="4" t="n">
        <f aca="false">IFERROR(INDEX(Students!$D$3:$D$114,MATCH(1,INDEX((Students!$K$3:$K$114="5C")*(Students!$L$3:$L$114=15),0),0)),"")</f>
        <v>455</v>
      </c>
      <c r="F17" s="4" t="str">
        <f aca="false">IFERROR(INDEX(Students!$E$3:$E$114,MATCH(1,INDEX((Students!$K$3:$K$114="5C")*(Students!$L$3:$L$114=15),0),0)),"")</f>
        <v>Grade 2</v>
      </c>
    </row>
    <row r="18" customFormat="false" ht="15" hidden="false" customHeight="false" outlineLevel="0" collapsed="false">
      <c r="A18" s="4" t="n">
        <v>16</v>
      </c>
      <c r="B18" s="4" t="str">
        <f aca="false">IFERROR(INDEX(Students!$A$3:$A$114,MATCH(1,INDEX((Students!$K$3:$K$114="5C")*(Students!$L$3:$L$114=16),0),0)),"")</f>
        <v>S-057</v>
      </c>
      <c r="C18" s="4" t="n">
        <f aca="false">IFERROR(INDEX(Students!$B$3:$B$114,MATCH(1,INDEX((Students!$K$3:$K$114="5C")*(Students!$L$3:$L$114=16),0),0)),"")</f>
        <v>563</v>
      </c>
      <c r="D18" s="4" t="str">
        <f aca="false">IFERROR(INDEX(Students!$C$3:$C$114,MATCH(1,INDEX((Students!$K$3:$K$114="5C")*(Students!$L$3:$L$114=16),0),0)),"")</f>
        <v>Grade 5</v>
      </c>
      <c r="E18" s="4" t="n">
        <f aca="false">IFERROR(INDEX(Students!$D$3:$D$114,MATCH(1,INDEX((Students!$K$3:$K$114="5C")*(Students!$L$3:$L$114=16),0),0)),"")</f>
        <v>505</v>
      </c>
      <c r="F18" s="4" t="str">
        <f aca="false">IFERROR(INDEX(Students!$E$3:$E$114,MATCH(1,INDEX((Students!$K$3:$K$114="5C")*(Students!$L$3:$L$114=16),0),0)),"")</f>
        <v>Grade 4</v>
      </c>
    </row>
    <row r="19" customFormat="false" ht="15" hidden="false" customHeight="false" outlineLevel="0" collapsed="false">
      <c r="A19" s="4" t="n">
        <v>17</v>
      </c>
      <c r="B19" s="4" t="str">
        <f aca="false">IFERROR(INDEX(Students!$A$3:$A$114,MATCH(1,INDEX((Students!$K$3:$K$114="5C")*(Students!$L$3:$L$114=17),0),0)),"")</f>
        <v>S-064</v>
      </c>
      <c r="C19" s="4" t="n">
        <f aca="false">IFERROR(INDEX(Students!$B$3:$B$114,MATCH(1,INDEX((Students!$K$3:$K$114="5C")*(Students!$L$3:$L$114=17),0),0)),"")</f>
        <v>516</v>
      </c>
      <c r="D19" s="4" t="str">
        <f aca="false">IFERROR(INDEX(Students!$C$3:$C$114,MATCH(1,INDEX((Students!$K$3:$K$114="5C")*(Students!$L$3:$L$114=17),0),0)),"")</f>
        <v>Grade 4</v>
      </c>
      <c r="E19" s="4" t="n">
        <f aca="false">IFERROR(INDEX(Students!$D$3:$D$114,MATCH(1,INDEX((Students!$K$3:$K$114="5C")*(Students!$L$3:$L$114=17),0),0)),"")</f>
        <v>490</v>
      </c>
      <c r="F19" s="4" t="str">
        <f aca="false">IFERROR(INDEX(Students!$E$3:$E$114,MATCH(1,INDEX((Students!$K$3:$K$114="5C")*(Students!$L$3:$L$114=17),0),0)),"")</f>
        <v>Grade 3</v>
      </c>
    </row>
    <row r="20" customFormat="false" ht="15" hidden="false" customHeight="false" outlineLevel="0" collapsed="false">
      <c r="A20" s="4" t="n">
        <v>18</v>
      </c>
      <c r="B20" s="4" t="str">
        <f aca="false">IFERROR(INDEX(Students!$A$3:$A$114,MATCH(1,INDEX((Students!$K$3:$K$114="5C")*(Students!$L$3:$L$114=18),0),0)),"")</f>
        <v>S-069</v>
      </c>
      <c r="C20" s="4" t="n">
        <f aca="false">IFERROR(INDEX(Students!$B$3:$B$114,MATCH(1,INDEX((Students!$K$3:$K$114="5C")*(Students!$L$3:$L$114=18),0),0)),"")</f>
        <v>500</v>
      </c>
      <c r="D20" s="4" t="str">
        <f aca="false">IFERROR(INDEX(Students!$C$3:$C$114,MATCH(1,INDEX((Students!$K$3:$K$114="5C")*(Students!$L$3:$L$114=18),0),0)),"")</f>
        <v>Grade 4</v>
      </c>
      <c r="E20" s="4" t="n">
        <f aca="false">IFERROR(INDEX(Students!$D$3:$D$114,MATCH(1,INDEX((Students!$K$3:$K$114="5C")*(Students!$L$3:$L$114=18),0),0)),"")</f>
        <v>490</v>
      </c>
      <c r="F20" s="4" t="str">
        <f aca="false">IFERROR(INDEX(Students!$E$3:$E$114,MATCH(1,INDEX((Students!$K$3:$K$114="5C")*(Students!$L$3:$L$114=18),0),0)),"")</f>
        <v>Grade 3</v>
      </c>
    </row>
    <row r="21" customFormat="false" ht="15" hidden="false" customHeight="false" outlineLevel="0" collapsed="false">
      <c r="A21" s="4" t="n">
        <v>19</v>
      </c>
      <c r="B21" s="4" t="str">
        <f aca="false">IFERROR(INDEX(Students!$A$3:$A$114,MATCH(1,INDEX((Students!$K$3:$K$114="5C")*(Students!$L$3:$L$114=19),0),0)),"")</f>
        <v>S-070</v>
      </c>
      <c r="C21" s="4" t="n">
        <f aca="false">IFERROR(INDEX(Students!$B$3:$B$114,MATCH(1,INDEX((Students!$K$3:$K$114="5C")*(Students!$L$3:$L$114=19),0),0)),"")</f>
        <v>526</v>
      </c>
      <c r="D21" s="4" t="str">
        <f aca="false">IFERROR(INDEX(Students!$C$3:$C$114,MATCH(1,INDEX((Students!$K$3:$K$114="5C")*(Students!$L$3:$L$114=19),0),0)),"")</f>
        <v>Grade 4</v>
      </c>
      <c r="E21" s="4" t="n">
        <f aca="false">IFERROR(INDEX(Students!$D$3:$D$114,MATCH(1,INDEX((Students!$K$3:$K$114="5C")*(Students!$L$3:$L$114=19),0),0)),"")</f>
        <v>530</v>
      </c>
      <c r="F21" s="4" t="str">
        <f aca="false">IFERROR(INDEX(Students!$E$3:$E$114,MATCH(1,INDEX((Students!$K$3:$K$114="5C")*(Students!$L$3:$L$114=19),0),0)),"")</f>
        <v>Grade 4</v>
      </c>
    </row>
    <row r="22" customFormat="false" ht="15" hidden="false" customHeight="false" outlineLevel="0" collapsed="false">
      <c r="A22" s="4" t="n">
        <v>20</v>
      </c>
      <c r="B22" s="4" t="str">
        <f aca="false">IFERROR(INDEX(Students!$A$3:$A$114,MATCH(1,INDEX((Students!$K$3:$K$114="5C")*(Students!$L$3:$L$114=20),0),0)),"")</f>
        <v>S-073</v>
      </c>
      <c r="C22" s="4" t="n">
        <f aca="false">IFERROR(INDEX(Students!$B$3:$B$114,MATCH(1,INDEX((Students!$K$3:$K$114="5C")*(Students!$L$3:$L$114=20),0),0)),"")</f>
        <v>546</v>
      </c>
      <c r="D22" s="4" t="str">
        <f aca="false">IFERROR(INDEX(Students!$C$3:$C$114,MATCH(1,INDEX((Students!$K$3:$K$114="5C")*(Students!$L$3:$L$114=20),0),0)),"")</f>
        <v>Grade 5</v>
      </c>
      <c r="E22" s="4" t="n">
        <f aca="false">IFERROR(INDEX(Students!$D$3:$D$114,MATCH(1,INDEX((Students!$K$3:$K$114="5C")*(Students!$L$3:$L$114=20),0),0)),"")</f>
        <v>450</v>
      </c>
      <c r="F22" s="4" t="str">
        <f aca="false">IFERROR(INDEX(Students!$E$3:$E$114,MATCH(1,INDEX((Students!$K$3:$K$114="5C")*(Students!$L$3:$L$114=20),0),0)),"")</f>
        <v>Grade 2</v>
      </c>
    </row>
    <row r="23" customFormat="false" ht="15" hidden="false" customHeight="false" outlineLevel="0" collapsed="false">
      <c r="A23" s="4" t="n">
        <v>21</v>
      </c>
      <c r="B23" s="4" t="str">
        <f aca="false">IFERROR(INDEX(Students!$A$3:$A$114,MATCH(1,INDEX((Students!$K$3:$K$114="5C")*(Students!$L$3:$L$114=21),0),0)),"")</f>
        <v>S-082</v>
      </c>
      <c r="C23" s="4" t="n">
        <f aca="false">IFERROR(INDEX(Students!$B$3:$B$114,MATCH(1,INDEX((Students!$K$3:$K$114="5C")*(Students!$L$3:$L$114=21),0),0)),"")</f>
        <v>423</v>
      </c>
      <c r="D23" s="4" t="str">
        <f aca="false">IFERROR(INDEX(Students!$C$3:$C$114,MATCH(1,INDEX((Students!$K$3:$K$114="5C")*(Students!$L$3:$L$114=21),0),0)),"")</f>
        <v>Grade 1</v>
      </c>
      <c r="E23" s="4" t="n">
        <f aca="false">IFERROR(INDEX(Students!$D$3:$D$114,MATCH(1,INDEX((Students!$K$3:$K$114="5C")*(Students!$L$3:$L$114=21),0),0)),"")</f>
        <v>472</v>
      </c>
      <c r="F23" s="4" t="str">
        <f aca="false">IFERROR(INDEX(Students!$E$3:$E$114,MATCH(1,INDEX((Students!$K$3:$K$114="5C")*(Students!$L$3:$L$114=21),0),0)),"")</f>
        <v>Grade 3</v>
      </c>
    </row>
    <row r="24" customFormat="false" ht="15" hidden="false" customHeight="false" outlineLevel="0" collapsed="false">
      <c r="A24" s="4" t="n">
        <v>22</v>
      </c>
      <c r="B24" s="4" t="str">
        <f aca="false">IFERROR(INDEX(Students!$A$3:$A$114,MATCH(1,INDEX((Students!$K$3:$K$114="5C")*(Students!$L$3:$L$114=22),0),0)),"")</f>
        <v>S-086</v>
      </c>
      <c r="C24" s="4" t="n">
        <f aca="false">IFERROR(INDEX(Students!$B$3:$B$114,MATCH(1,INDEX((Students!$K$3:$K$114="5C")*(Students!$L$3:$L$114=22),0),0)),"")</f>
        <v>452</v>
      </c>
      <c r="D24" s="4" t="str">
        <f aca="false">IFERROR(INDEX(Students!$C$3:$C$114,MATCH(1,INDEX((Students!$K$3:$K$114="5C")*(Students!$L$3:$L$114=22),0),0)),"")</f>
        <v>Grade 2</v>
      </c>
      <c r="E24" s="4" t="n">
        <f aca="false">IFERROR(INDEX(Students!$D$3:$D$114,MATCH(1,INDEX((Students!$K$3:$K$114="5C")*(Students!$L$3:$L$114=22),0),0)),"")</f>
        <v>504</v>
      </c>
      <c r="F24" s="4" t="str">
        <f aca="false">IFERROR(INDEX(Students!$E$3:$E$114,MATCH(1,INDEX((Students!$K$3:$K$114="5C")*(Students!$L$3:$L$114=22),0),0)),"")</f>
        <v>Grade 3</v>
      </c>
    </row>
    <row r="25" customFormat="false" ht="15" hidden="false" customHeight="false" outlineLevel="0" collapsed="false">
      <c r="A25" s="4" t="n">
        <v>23</v>
      </c>
      <c r="B25" s="4" t="str">
        <f aca="false">IFERROR(INDEX(Students!$A$3:$A$114,MATCH(1,INDEX((Students!$K$3:$K$114="5C")*(Students!$L$3:$L$114=23),0),0)),"")</f>
        <v>S-088</v>
      </c>
      <c r="C25" s="4" t="n">
        <f aca="false">IFERROR(INDEX(Students!$B$3:$B$114,MATCH(1,INDEX((Students!$K$3:$K$114="5C")*(Students!$L$3:$L$114=23),0),0)),"")</f>
        <v>463</v>
      </c>
      <c r="D25" s="4" t="str">
        <f aca="false">IFERROR(INDEX(Students!$C$3:$C$114,MATCH(1,INDEX((Students!$K$3:$K$114="5C")*(Students!$L$3:$L$114=23),0),0)),"")</f>
        <v>Grade 2</v>
      </c>
      <c r="E25" s="4" t="n">
        <f aca="false">IFERROR(INDEX(Students!$D$3:$D$114,MATCH(1,INDEX((Students!$K$3:$K$114="5C")*(Students!$L$3:$L$114=23),0),0)),"")</f>
        <v>487</v>
      </c>
      <c r="F25" s="4" t="str">
        <f aca="false">IFERROR(INDEX(Students!$E$3:$E$114,MATCH(1,INDEX((Students!$K$3:$K$114="5C")*(Students!$L$3:$L$114=23),0),0)),"")</f>
        <v>Grade 3</v>
      </c>
    </row>
    <row r="26" customFormat="false" ht="15" hidden="false" customHeight="false" outlineLevel="0" collapsed="false">
      <c r="A26" s="4" t="n">
        <v>24</v>
      </c>
      <c r="B26" s="4" t="str">
        <f aca="false">IFERROR(INDEX(Students!$A$3:$A$114,MATCH(1,INDEX((Students!$K$3:$K$114="5C")*(Students!$L$3:$L$114=24),0),0)),"")</f>
        <v>S-090</v>
      </c>
      <c r="C26" s="4" t="n">
        <f aca="false">IFERROR(INDEX(Students!$B$3:$B$114,MATCH(1,INDEX((Students!$K$3:$K$114="5C")*(Students!$L$3:$L$114=24),0),0)),"")</f>
        <v>519</v>
      </c>
      <c r="D26" s="4" t="str">
        <f aca="false">IFERROR(INDEX(Students!$C$3:$C$114,MATCH(1,INDEX((Students!$K$3:$K$114="5C")*(Students!$L$3:$L$114=24),0),0)),"")</f>
        <v>Grade 4</v>
      </c>
      <c r="E26" s="4" t="n">
        <f aca="false">IFERROR(INDEX(Students!$D$3:$D$114,MATCH(1,INDEX((Students!$K$3:$K$114="5C")*(Students!$L$3:$L$114=24),0),0)),"")</f>
        <v>516</v>
      </c>
      <c r="F26" s="4" t="str">
        <f aca="false">IFERROR(INDEX(Students!$E$3:$E$114,MATCH(1,INDEX((Students!$K$3:$K$114="5C")*(Students!$L$3:$L$114=24),0),0)),"")</f>
        <v>Grade 4</v>
      </c>
    </row>
    <row r="27" customFormat="false" ht="15" hidden="false" customHeight="false" outlineLevel="0" collapsed="false">
      <c r="A27" s="4" t="n">
        <v>25</v>
      </c>
      <c r="B27" s="4" t="str">
        <f aca="false">IFERROR(INDEX(Students!$A$3:$A$114,MATCH(1,INDEX((Students!$K$3:$K$114="5C")*(Students!$L$3:$L$114=25),0),0)),"")</f>
        <v>S-093</v>
      </c>
      <c r="C27" s="4" t="n">
        <f aca="false">IFERROR(INDEX(Students!$B$3:$B$114,MATCH(1,INDEX((Students!$K$3:$K$114="5C")*(Students!$L$3:$L$114=25),0),0)),"")</f>
        <v>504</v>
      </c>
      <c r="D27" s="4" t="str">
        <f aca="false">IFERROR(INDEX(Students!$C$3:$C$114,MATCH(1,INDEX((Students!$K$3:$K$114="5C")*(Students!$L$3:$L$114=25),0),0)),"")</f>
        <v>Grade 4</v>
      </c>
      <c r="E27" s="4" t="n">
        <f aca="false">IFERROR(INDEX(Students!$D$3:$D$114,MATCH(1,INDEX((Students!$K$3:$K$114="5C")*(Students!$L$3:$L$114=25),0),0)),"")</f>
        <v>474</v>
      </c>
      <c r="F27" s="4" t="str">
        <f aca="false">IFERROR(INDEX(Students!$E$3:$E$114,MATCH(1,INDEX((Students!$K$3:$K$114="5C")*(Students!$L$3:$L$114=25),0),0)),"")</f>
        <v>Grade 3</v>
      </c>
    </row>
    <row r="28" customFormat="false" ht="15" hidden="false" customHeight="false" outlineLevel="0" collapsed="false">
      <c r="A28" s="4" t="n">
        <v>26</v>
      </c>
      <c r="B28" s="4" t="str">
        <f aca="false">IFERROR(INDEX(Students!$A$3:$A$114,MATCH(1,INDEX((Students!$K$3:$K$114="5C")*(Students!$L$3:$L$114=26),0),0)),"")</f>
        <v>S-094</v>
      </c>
      <c r="C28" s="4" t="n">
        <f aca="false">IFERROR(INDEX(Students!$B$3:$B$114,MATCH(1,INDEX((Students!$K$3:$K$114="5C")*(Students!$L$3:$L$114=26),0),0)),"")</f>
        <v>476</v>
      </c>
      <c r="D28" s="4" t="str">
        <f aca="false">IFERROR(INDEX(Students!$C$3:$C$114,MATCH(1,INDEX((Students!$K$3:$K$114="5C")*(Students!$L$3:$L$114=26),0),0)),"")</f>
        <v>Grade 3</v>
      </c>
      <c r="E28" s="4" t="n">
        <f aca="false">IFERROR(INDEX(Students!$D$3:$D$114,MATCH(1,INDEX((Students!$K$3:$K$114="5C")*(Students!$L$3:$L$114=26),0),0)),"")</f>
        <v>524</v>
      </c>
      <c r="F28" s="4" t="str">
        <f aca="false">IFERROR(INDEX(Students!$E$3:$E$114,MATCH(1,INDEX((Students!$K$3:$K$114="5C")*(Students!$L$3:$L$114=26),0),0)),"")</f>
        <v>Grade 4</v>
      </c>
    </row>
    <row r="29" customFormat="false" ht="15" hidden="false" customHeight="false" outlineLevel="0" collapsed="false">
      <c r="A29" s="4" t="n">
        <v>27</v>
      </c>
      <c r="B29" s="4" t="str">
        <f aca="false">IFERROR(INDEX(Students!$A$3:$A$114,MATCH(1,INDEX((Students!$K$3:$K$114="5C")*(Students!$L$3:$L$114=27),0),0)),"")</f>
        <v>S-109</v>
      </c>
      <c r="C29" s="4" t="n">
        <f aca="false">IFERROR(INDEX(Students!$B$3:$B$114,MATCH(1,INDEX((Students!$K$3:$K$114="5C")*(Students!$L$3:$L$114=27),0),0)),"")</f>
        <v>522</v>
      </c>
      <c r="D29" s="4" t="str">
        <f aca="false">IFERROR(INDEX(Students!$C$3:$C$114,MATCH(1,INDEX((Students!$K$3:$K$114="5C")*(Students!$L$3:$L$114=27),0),0)),"")</f>
        <v>Grade 4</v>
      </c>
      <c r="E29" s="4" t="n">
        <f aca="false">IFERROR(INDEX(Students!$D$3:$D$114,MATCH(1,INDEX((Students!$K$3:$K$114="5C")*(Students!$L$3:$L$114=27),0),0)),"")</f>
        <v>564</v>
      </c>
      <c r="F29" s="4" t="str">
        <f aca="false">IFERROR(INDEX(Students!$E$3:$E$114,MATCH(1,INDEX((Students!$K$3:$K$114="5C")*(Students!$L$3:$L$114=27),0),0)),"")</f>
        <v>Grade 5</v>
      </c>
    </row>
    <row r="30" customFormat="false" ht="15" hidden="false" customHeight="false" outlineLevel="0" collapsed="false">
      <c r="A30" s="4" t="n">
        <v>28</v>
      </c>
      <c r="B30" s="4" t="str">
        <f aca="false">IFERROR(INDEX(Students!$A$3:$A$114,MATCH(1,INDEX((Students!$K$3:$K$114="5C")*(Students!$L$3:$L$114=28),0),0)),"")</f>
        <v>S-111</v>
      </c>
      <c r="C30" s="4" t="n">
        <f aca="false">IFERROR(INDEX(Students!$B$3:$B$114,MATCH(1,INDEX((Students!$K$3:$K$114="5C")*(Students!$L$3:$L$114=28),0),0)),"")</f>
        <v>535</v>
      </c>
      <c r="D30" s="4" t="str">
        <f aca="false">IFERROR(INDEX(Students!$C$3:$C$114,MATCH(1,INDEX((Students!$K$3:$K$114="5C")*(Students!$L$3:$L$114=28),0),0)),"")</f>
        <v>Grade 5</v>
      </c>
      <c r="E30" s="4" t="n">
        <f aca="false">IFERROR(INDEX(Students!$D$3:$D$114,MATCH(1,INDEX((Students!$K$3:$K$114="5C")*(Students!$L$3:$L$114=28),0),0)),"")</f>
        <v>505</v>
      </c>
      <c r="F30" s="4" t="str">
        <f aca="false">IFERROR(INDEX(Students!$E$3:$E$114,MATCH(1,INDEX((Students!$K$3:$K$114="5C")*(Students!$L$3:$L$114=28),0),0)),"")</f>
        <v>Grade 3</v>
      </c>
    </row>
    <row r="31" customFormat="false" ht="15" hidden="false" customHeight="false" outlineLevel="0" collapsed="false">
      <c r="A31" s="4" t="n">
        <v>29</v>
      </c>
      <c r="B31" s="4" t="str">
        <f aca="false">IFERROR(INDEX(Students!$A$3:$A$114,MATCH(1,INDEX((Students!$K$3:$K$114="5C")*(Students!$L$3:$L$114=29),0),0)),"")</f>
        <v/>
      </c>
      <c r="C31" s="4" t="str">
        <f aca="false">IFERROR(INDEX(Students!$B$3:$B$114,MATCH(1,INDEX((Students!$K$3:$K$114="5C")*(Students!$L$3:$L$114=29),0),0)),"")</f>
        <v/>
      </c>
      <c r="D31" s="4" t="str">
        <f aca="false">IFERROR(INDEX(Students!$C$3:$C$114,MATCH(1,INDEX((Students!$K$3:$K$114="5C")*(Students!$L$3:$L$114=29),0),0)),"")</f>
        <v/>
      </c>
      <c r="E31" s="4" t="str">
        <f aca="false">IFERROR(INDEX(Students!$D$3:$D$114,MATCH(1,INDEX((Students!$K$3:$K$114="5C")*(Students!$L$3:$L$114=29),0),0)),"")</f>
        <v/>
      </c>
      <c r="F31" s="4" t="str">
        <f aca="false">IFERROR(INDEX(Students!$E$3:$E$114,MATCH(1,INDEX((Students!$K$3:$K$114="5C")*(Students!$L$3:$L$114=29),0),0)),"")</f>
        <v/>
      </c>
    </row>
    <row r="32" customFormat="false" ht="15" hidden="false" customHeight="false" outlineLevel="0" collapsed="false">
      <c r="A32" s="4" t="n">
        <v>30</v>
      </c>
      <c r="B32" s="4" t="str">
        <f aca="false">IFERROR(INDEX(Students!$A$3:$A$114,MATCH(1,INDEX((Students!$K$3:$K$114="5C")*(Students!$L$3:$L$114=30),0),0)),"")</f>
        <v/>
      </c>
      <c r="C32" s="4" t="str">
        <f aca="false">IFERROR(INDEX(Students!$B$3:$B$114,MATCH(1,INDEX((Students!$K$3:$K$114="5C")*(Students!$L$3:$L$114=30),0),0)),"")</f>
        <v/>
      </c>
      <c r="D32" s="4" t="str">
        <f aca="false">IFERROR(INDEX(Students!$C$3:$C$114,MATCH(1,INDEX((Students!$K$3:$K$114="5C")*(Students!$L$3:$L$114=30),0),0)),"")</f>
        <v/>
      </c>
      <c r="E32" s="4" t="str">
        <f aca="false">IFERROR(INDEX(Students!$D$3:$D$114,MATCH(1,INDEX((Students!$K$3:$K$114="5C")*(Students!$L$3:$L$114=30),0),0)),"")</f>
        <v/>
      </c>
      <c r="F32" s="4" t="str">
        <f aca="false">IFERROR(INDEX(Students!$E$3:$E$114,MATCH(1,INDEX((Students!$K$3:$K$114="5C")*(Students!$L$3:$L$114=30),0),0)),"")</f>
        <v/>
      </c>
    </row>
    <row r="33" customFormat="false" ht="15" hidden="false" customHeight="false" outlineLevel="0" collapsed="false">
      <c r="A33" s="4" t="n">
        <v>31</v>
      </c>
      <c r="B33" s="4" t="str">
        <f aca="false">IFERROR(INDEX(Students!$A$3:$A$114,MATCH(1,INDEX((Students!$K$3:$K$114="5C")*(Students!$L$3:$L$114=31),0),0)),"")</f>
        <v/>
      </c>
      <c r="C33" s="4" t="str">
        <f aca="false">IFERROR(INDEX(Students!$B$3:$B$114,MATCH(1,INDEX((Students!$K$3:$K$114="5C")*(Students!$L$3:$L$114=31),0),0)),"")</f>
        <v/>
      </c>
      <c r="D33" s="4" t="str">
        <f aca="false">IFERROR(INDEX(Students!$C$3:$C$114,MATCH(1,INDEX((Students!$K$3:$K$114="5C")*(Students!$L$3:$L$114=31),0),0)),"")</f>
        <v/>
      </c>
      <c r="E33" s="4" t="str">
        <f aca="false">IFERROR(INDEX(Students!$D$3:$D$114,MATCH(1,INDEX((Students!$K$3:$K$114="5C")*(Students!$L$3:$L$114=31),0),0)),"")</f>
        <v/>
      </c>
      <c r="F33" s="4" t="str">
        <f aca="false">IFERROR(INDEX(Students!$E$3:$E$114,MATCH(1,INDEX((Students!$K$3:$K$114="5C")*(Students!$L$3:$L$114=31),0),0)),"")</f>
        <v/>
      </c>
    </row>
    <row r="34" customFormat="false" ht="15" hidden="false" customHeight="false" outlineLevel="0" collapsed="false">
      <c r="A34" s="4" t="n">
        <v>32</v>
      </c>
      <c r="B34" s="4" t="str">
        <f aca="false">IFERROR(INDEX(Students!$A$3:$A$114,MATCH(1,INDEX((Students!$K$3:$K$114="5C")*(Students!$L$3:$L$114=32),0),0)),"")</f>
        <v/>
      </c>
      <c r="C34" s="4" t="str">
        <f aca="false">IFERROR(INDEX(Students!$B$3:$B$114,MATCH(1,INDEX((Students!$K$3:$K$114="5C")*(Students!$L$3:$L$114=32),0),0)),"")</f>
        <v/>
      </c>
      <c r="D34" s="4" t="str">
        <f aca="false">IFERROR(INDEX(Students!$C$3:$C$114,MATCH(1,INDEX((Students!$K$3:$K$114="5C")*(Students!$L$3:$L$114=32),0),0)),"")</f>
        <v/>
      </c>
      <c r="E34" s="4" t="str">
        <f aca="false">IFERROR(INDEX(Students!$D$3:$D$114,MATCH(1,INDEX((Students!$K$3:$K$114="5C")*(Students!$L$3:$L$114=32),0),0)),"")</f>
        <v/>
      </c>
      <c r="F34" s="4" t="str">
        <f aca="false">IFERROR(INDEX(Students!$E$3:$E$114,MATCH(1,INDEX((Students!$K$3:$K$114="5C")*(Students!$L$3:$L$114=32),0),0)),"")</f>
        <v/>
      </c>
    </row>
    <row r="35" customFormat="false" ht="15" hidden="false" customHeight="false" outlineLevel="0" collapsed="false">
      <c r="A35" s="4" t="n">
        <v>33</v>
      </c>
      <c r="B35" s="4" t="str">
        <f aca="false">IFERROR(INDEX(Students!$A$3:$A$114,MATCH(1,INDEX((Students!$K$3:$K$114="5C")*(Students!$L$3:$L$114=33),0),0)),"")</f>
        <v/>
      </c>
      <c r="C35" s="4" t="str">
        <f aca="false">IFERROR(INDEX(Students!$B$3:$B$114,MATCH(1,INDEX((Students!$K$3:$K$114="5C")*(Students!$L$3:$L$114=33),0),0)),"")</f>
        <v/>
      </c>
      <c r="D35" s="4" t="str">
        <f aca="false">IFERROR(INDEX(Students!$C$3:$C$114,MATCH(1,INDEX((Students!$K$3:$K$114="5C")*(Students!$L$3:$L$114=33),0),0)),"")</f>
        <v/>
      </c>
      <c r="E35" s="4" t="str">
        <f aca="false">IFERROR(INDEX(Students!$D$3:$D$114,MATCH(1,INDEX((Students!$K$3:$K$114="5C")*(Students!$L$3:$L$114=33),0),0)),"")</f>
        <v/>
      </c>
      <c r="F35" s="4" t="str">
        <f aca="false">IFERROR(INDEX(Students!$E$3:$E$114,MATCH(1,INDEX((Students!$K$3:$K$114="5C")*(Students!$L$3:$L$114=33),0),0)),"")</f>
        <v/>
      </c>
    </row>
    <row r="36" customFormat="false" ht="15" hidden="false" customHeight="false" outlineLevel="0" collapsed="false">
      <c r="A36" s="4" t="n">
        <v>34</v>
      </c>
      <c r="B36" s="4" t="str">
        <f aca="false">IFERROR(INDEX(Students!$A$3:$A$114,MATCH(1,INDEX((Students!$K$3:$K$114="5C")*(Students!$L$3:$L$114=34),0),0)),"")</f>
        <v/>
      </c>
      <c r="C36" s="4" t="str">
        <f aca="false">IFERROR(INDEX(Students!$B$3:$B$114,MATCH(1,INDEX((Students!$K$3:$K$114="5C")*(Students!$L$3:$L$114=34),0),0)),"")</f>
        <v/>
      </c>
      <c r="D36" s="4" t="str">
        <f aca="false">IFERROR(INDEX(Students!$C$3:$C$114,MATCH(1,INDEX((Students!$K$3:$K$114="5C")*(Students!$L$3:$L$114=34),0),0)),"")</f>
        <v/>
      </c>
      <c r="E36" s="4" t="str">
        <f aca="false">IFERROR(INDEX(Students!$D$3:$D$114,MATCH(1,INDEX((Students!$K$3:$K$114="5C")*(Students!$L$3:$L$114=34),0),0)),"")</f>
        <v/>
      </c>
      <c r="F36" s="4" t="str">
        <f aca="false">IFERROR(INDEX(Students!$E$3:$E$114,MATCH(1,INDEX((Students!$K$3:$K$114="5C")*(Students!$L$3:$L$114=34),0),0)),"")</f>
        <v/>
      </c>
    </row>
    <row r="37" customFormat="false" ht="15" hidden="false" customHeight="false" outlineLevel="0" collapsed="false">
      <c r="A37" s="4" t="n">
        <v>35</v>
      </c>
      <c r="B37" s="4" t="str">
        <f aca="false">IFERROR(INDEX(Students!$A$3:$A$114,MATCH(1,INDEX((Students!$K$3:$K$114="5C")*(Students!$L$3:$L$114=35),0),0)),"")</f>
        <v/>
      </c>
      <c r="C37" s="4" t="str">
        <f aca="false">IFERROR(INDEX(Students!$B$3:$B$114,MATCH(1,INDEX((Students!$K$3:$K$114="5C")*(Students!$L$3:$L$114=35),0),0)),"")</f>
        <v/>
      </c>
      <c r="D37" s="4" t="str">
        <f aca="false">IFERROR(INDEX(Students!$C$3:$C$114,MATCH(1,INDEX((Students!$K$3:$K$114="5C")*(Students!$L$3:$L$114=35),0),0)),"")</f>
        <v/>
      </c>
      <c r="E37" s="4" t="str">
        <f aca="false">IFERROR(INDEX(Students!$D$3:$D$114,MATCH(1,INDEX((Students!$K$3:$K$114="5C")*(Students!$L$3:$L$114=35),0),0)),"")</f>
        <v/>
      </c>
      <c r="F37" s="4" t="str">
        <f aca="false">IFERROR(INDEX(Students!$E$3:$E$114,MATCH(1,INDEX((Students!$K$3:$K$114="5C")*(Students!$L$3:$L$114=35),0),0)),"")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6" t="s">
        <v>157</v>
      </c>
      <c r="B1" s="2"/>
      <c r="C1" s="2"/>
      <c r="D1" s="2"/>
      <c r="E1" s="2"/>
      <c r="F1" s="2"/>
    </row>
    <row r="2" customFormat="false" ht="33.75" hidden="false" customHeight="true" outlineLevel="0" collapsed="false">
      <c r="A2" s="3" t="s">
        <v>154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customFormat="false" ht="15" hidden="false" customHeight="false" outlineLevel="0" collapsed="false">
      <c r="A3" s="4" t="n">
        <v>1</v>
      </c>
      <c r="B3" s="4" t="str">
        <f aca="false">IFERROR(INDEX(Students!$A$3:$A$114,MATCH(1,INDEX((Students!$K$3:$K$114="5D")*(Students!$L$3:$L$114=1),0),0)),"")</f>
        <v>S-007</v>
      </c>
      <c r="C3" s="4" t="n">
        <f aca="false">IFERROR(INDEX(Students!$B$3:$B$114,MATCH(1,INDEX((Students!$K$3:$K$114="5D")*(Students!$L$3:$L$114=1),0),0)),"")</f>
        <v>513</v>
      </c>
      <c r="D3" s="4" t="str">
        <f aca="false">IFERROR(INDEX(Students!$C$3:$C$114,MATCH(1,INDEX((Students!$K$3:$K$114="5D")*(Students!$L$3:$L$114=1),0),0)),"")</f>
        <v>Grade 4</v>
      </c>
      <c r="E3" s="4" t="n">
        <f aca="false">IFERROR(INDEX(Students!$D$3:$D$114,MATCH(1,INDEX((Students!$K$3:$K$114="5D")*(Students!$L$3:$L$114=1),0),0)),"")</f>
        <v>401</v>
      </c>
      <c r="F3" s="4" t="str">
        <f aca="false">IFERROR(INDEX(Students!$E$3:$E$114,MATCH(1,INDEX((Students!$K$3:$K$114="5D")*(Students!$L$3:$L$114=1),0),0)),"")</f>
        <v>Grade 1</v>
      </c>
    </row>
    <row r="4" customFormat="false" ht="15" hidden="false" customHeight="false" outlineLevel="0" collapsed="false">
      <c r="A4" s="4" t="n">
        <v>2</v>
      </c>
      <c r="B4" s="4" t="str">
        <f aca="false">IFERROR(INDEX(Students!$A$3:$A$114,MATCH(1,INDEX((Students!$K$3:$K$114="5D")*(Students!$L$3:$L$114=2),0),0)),"")</f>
        <v>S-011</v>
      </c>
      <c r="C4" s="4" t="n">
        <f aca="false">IFERROR(INDEX(Students!$B$3:$B$114,MATCH(1,INDEX((Students!$K$3:$K$114="5D")*(Students!$L$3:$L$114=2),0),0)),"")</f>
        <v>532</v>
      </c>
      <c r="D4" s="4" t="str">
        <f aca="false">IFERROR(INDEX(Students!$C$3:$C$114,MATCH(1,INDEX((Students!$K$3:$K$114="5D")*(Students!$L$3:$L$114=2),0),0)),"")</f>
        <v>Grade 4</v>
      </c>
      <c r="E4" s="4" t="n">
        <f aca="false">IFERROR(INDEX(Students!$D$3:$D$114,MATCH(1,INDEX((Students!$K$3:$K$114="5D")*(Students!$L$3:$L$114=2),0),0)),"")</f>
        <v>558</v>
      </c>
      <c r="F4" s="4" t="str">
        <f aca="false">IFERROR(INDEX(Students!$E$3:$E$114,MATCH(1,INDEX((Students!$K$3:$K$114="5D")*(Students!$L$3:$L$114=2),0),0)),"")</f>
        <v>Grade 5</v>
      </c>
    </row>
    <row r="5" customFormat="false" ht="15" hidden="false" customHeight="false" outlineLevel="0" collapsed="false">
      <c r="A5" s="4" t="n">
        <v>3</v>
      </c>
      <c r="B5" s="4" t="str">
        <f aca="false">IFERROR(INDEX(Students!$A$3:$A$114,MATCH(1,INDEX((Students!$K$3:$K$114="5D")*(Students!$L$3:$L$114=3),0),0)),"")</f>
        <v>S-015</v>
      </c>
      <c r="C5" s="4" t="n">
        <f aca="false">IFERROR(INDEX(Students!$B$3:$B$114,MATCH(1,INDEX((Students!$K$3:$K$114="5D")*(Students!$L$3:$L$114=3),0),0)),"")</f>
        <v>514</v>
      </c>
      <c r="D5" s="4" t="str">
        <f aca="false">IFERROR(INDEX(Students!$C$3:$C$114,MATCH(1,INDEX((Students!$K$3:$K$114="5D")*(Students!$L$3:$L$114=3),0),0)),"")</f>
        <v>Grade 4</v>
      </c>
      <c r="E5" s="4" t="n">
        <f aca="false">IFERROR(INDEX(Students!$D$3:$D$114,MATCH(1,INDEX((Students!$K$3:$K$114="5D")*(Students!$L$3:$L$114=3),0),0)),"")</f>
        <v>539</v>
      </c>
      <c r="F5" s="4" t="str">
        <f aca="false">IFERROR(INDEX(Students!$E$3:$E$114,MATCH(1,INDEX((Students!$K$3:$K$114="5D")*(Students!$L$3:$L$114=3),0),0)),"")</f>
        <v>Grade 4</v>
      </c>
    </row>
    <row r="6" customFormat="false" ht="15" hidden="false" customHeight="false" outlineLevel="0" collapsed="false">
      <c r="A6" s="4" t="n">
        <v>4</v>
      </c>
      <c r="B6" s="4" t="str">
        <f aca="false">IFERROR(INDEX(Students!$A$3:$A$114,MATCH(1,INDEX((Students!$K$3:$K$114="5D")*(Students!$L$3:$L$114=4),0),0)),"")</f>
        <v>S-017</v>
      </c>
      <c r="C6" s="4" t="n">
        <f aca="false">IFERROR(INDEX(Students!$B$3:$B$114,MATCH(1,INDEX((Students!$K$3:$K$114="5D")*(Students!$L$3:$L$114=4),0),0)),"")</f>
        <v>509</v>
      </c>
      <c r="D6" s="4" t="str">
        <f aca="false">IFERROR(INDEX(Students!$C$3:$C$114,MATCH(1,INDEX((Students!$K$3:$K$114="5D")*(Students!$L$3:$L$114=4),0),0)),"")</f>
        <v>Grade 4</v>
      </c>
      <c r="E6" s="4" t="n">
        <f aca="false">IFERROR(INDEX(Students!$D$3:$D$114,MATCH(1,INDEX((Students!$K$3:$K$114="5D")*(Students!$L$3:$L$114=4),0),0)),"")</f>
        <v>554</v>
      </c>
      <c r="F6" s="4" t="str">
        <f aca="false">IFERROR(INDEX(Students!$E$3:$E$114,MATCH(1,INDEX((Students!$K$3:$K$114="5D")*(Students!$L$3:$L$114=4),0),0)),"")</f>
        <v>Grade 5</v>
      </c>
    </row>
    <row r="7" customFormat="false" ht="15" hidden="false" customHeight="false" outlineLevel="0" collapsed="false">
      <c r="A7" s="4" t="n">
        <v>5</v>
      </c>
      <c r="B7" s="4" t="str">
        <f aca="false">IFERROR(INDEX(Students!$A$3:$A$114,MATCH(1,INDEX((Students!$K$3:$K$114="5D")*(Students!$L$3:$L$114=5),0),0)),"")</f>
        <v>S-021</v>
      </c>
      <c r="C7" s="4" t="n">
        <f aca="false">IFERROR(INDEX(Students!$B$3:$B$114,MATCH(1,INDEX((Students!$K$3:$K$114="5D")*(Students!$L$3:$L$114=5),0),0)),"")</f>
        <v>504</v>
      </c>
      <c r="D7" s="4" t="str">
        <f aca="false">IFERROR(INDEX(Students!$C$3:$C$114,MATCH(1,INDEX((Students!$K$3:$K$114="5D")*(Students!$L$3:$L$114=5),0),0)),"")</f>
        <v>Grade 4</v>
      </c>
      <c r="E7" s="4" t="n">
        <f aca="false">IFERROR(INDEX(Students!$D$3:$D$114,MATCH(1,INDEX((Students!$K$3:$K$114="5D")*(Students!$L$3:$L$114=5),0),0)),"")</f>
        <v>519</v>
      </c>
      <c r="F7" s="4" t="str">
        <f aca="false">IFERROR(INDEX(Students!$E$3:$E$114,MATCH(1,INDEX((Students!$K$3:$K$114="5D")*(Students!$L$3:$L$114=5),0),0)),"")</f>
        <v>Grade 4</v>
      </c>
    </row>
    <row r="8" customFormat="false" ht="15" hidden="false" customHeight="false" outlineLevel="0" collapsed="false">
      <c r="A8" s="4" t="n">
        <v>6</v>
      </c>
      <c r="B8" s="4" t="str">
        <f aca="false">IFERROR(INDEX(Students!$A$3:$A$114,MATCH(1,INDEX((Students!$K$3:$K$114="5D")*(Students!$L$3:$L$114=6),0),0)),"")</f>
        <v>S-022</v>
      </c>
      <c r="C8" s="4" t="n">
        <f aca="false">IFERROR(INDEX(Students!$B$3:$B$114,MATCH(1,INDEX((Students!$K$3:$K$114="5D")*(Students!$L$3:$L$114=6),0),0)),"")</f>
        <v>550</v>
      </c>
      <c r="D8" s="4" t="str">
        <f aca="false">IFERROR(INDEX(Students!$C$3:$C$114,MATCH(1,INDEX((Students!$K$3:$K$114="5D")*(Students!$L$3:$L$114=6),0),0)),"")</f>
        <v>Grade 5</v>
      </c>
      <c r="E8" s="4" t="n">
        <f aca="false">IFERROR(INDEX(Students!$D$3:$D$114,MATCH(1,INDEX((Students!$K$3:$K$114="5D")*(Students!$L$3:$L$114=6),0),0)),"")</f>
        <v>525</v>
      </c>
      <c r="F8" s="4" t="str">
        <f aca="false">IFERROR(INDEX(Students!$E$3:$E$114,MATCH(1,INDEX((Students!$K$3:$K$114="5D")*(Students!$L$3:$L$114=6),0),0)),"")</f>
        <v>Grade 4</v>
      </c>
    </row>
    <row r="9" customFormat="false" ht="15" hidden="false" customHeight="false" outlineLevel="0" collapsed="false">
      <c r="A9" s="4" t="n">
        <v>7</v>
      </c>
      <c r="B9" s="4" t="str">
        <f aca="false">IFERROR(INDEX(Students!$A$3:$A$114,MATCH(1,INDEX((Students!$K$3:$K$114="5D")*(Students!$L$3:$L$114=7),0),0)),"")</f>
        <v>S-023</v>
      </c>
      <c r="C9" s="4" t="n">
        <f aca="false">IFERROR(INDEX(Students!$B$3:$B$114,MATCH(1,INDEX((Students!$K$3:$K$114="5D")*(Students!$L$3:$L$114=7),0),0)),"")</f>
        <v>466</v>
      </c>
      <c r="D9" s="4" t="str">
        <f aca="false">IFERROR(INDEX(Students!$C$3:$C$114,MATCH(1,INDEX((Students!$K$3:$K$114="5D")*(Students!$L$3:$L$114=7),0),0)),"")</f>
        <v>Grade 2</v>
      </c>
      <c r="E9" s="4" t="n">
        <f aca="false">IFERROR(INDEX(Students!$D$3:$D$114,MATCH(1,INDEX((Students!$K$3:$K$114="5D")*(Students!$L$3:$L$114=7),0),0)),"")</f>
        <v>466</v>
      </c>
      <c r="F9" s="4" t="str">
        <f aca="false">IFERROR(INDEX(Students!$E$3:$E$114,MATCH(1,INDEX((Students!$K$3:$K$114="5D")*(Students!$L$3:$L$114=7),0),0)),"")</f>
        <v>Grade 3</v>
      </c>
    </row>
    <row r="10" customFormat="false" ht="15" hidden="false" customHeight="false" outlineLevel="0" collapsed="false">
      <c r="A10" s="4" t="n">
        <v>8</v>
      </c>
      <c r="B10" s="4" t="str">
        <f aca="false">IFERROR(INDEX(Students!$A$3:$A$114,MATCH(1,INDEX((Students!$K$3:$K$114="5D")*(Students!$L$3:$L$114=8),0),0)),"")</f>
        <v>S-026</v>
      </c>
      <c r="C10" s="4" t="n">
        <f aca="false">IFERROR(INDEX(Students!$B$3:$B$114,MATCH(1,INDEX((Students!$K$3:$K$114="5D")*(Students!$L$3:$L$114=8),0),0)),"")</f>
        <v>570</v>
      </c>
      <c r="D10" s="4" t="str">
        <f aca="false">IFERROR(INDEX(Students!$C$3:$C$114,MATCH(1,INDEX((Students!$K$3:$K$114="5D")*(Students!$L$3:$L$114=8),0),0)),"")</f>
        <v>Grade 5</v>
      </c>
      <c r="E10" s="4" t="n">
        <f aca="false">IFERROR(INDEX(Students!$D$3:$D$114,MATCH(1,INDEX((Students!$K$3:$K$114="5D")*(Students!$L$3:$L$114=8),0),0)),"")</f>
        <v>550</v>
      </c>
      <c r="F10" s="4" t="str">
        <f aca="false">IFERROR(INDEX(Students!$E$3:$E$114,MATCH(1,INDEX((Students!$K$3:$K$114="5D")*(Students!$L$3:$L$114=8),0),0)),"")</f>
        <v>Grade 5</v>
      </c>
    </row>
    <row r="11" customFormat="false" ht="15" hidden="false" customHeight="false" outlineLevel="0" collapsed="false">
      <c r="A11" s="4" t="n">
        <v>9</v>
      </c>
      <c r="B11" s="4" t="str">
        <f aca="false">IFERROR(INDEX(Students!$A$3:$A$114,MATCH(1,INDEX((Students!$K$3:$K$114="5D")*(Students!$L$3:$L$114=9),0),0)),"")</f>
        <v>S-034</v>
      </c>
      <c r="C11" s="4" t="n">
        <f aca="false">IFERROR(INDEX(Students!$B$3:$B$114,MATCH(1,INDEX((Students!$K$3:$K$114="5D")*(Students!$L$3:$L$114=9),0),0)),"")</f>
        <v>402</v>
      </c>
      <c r="D11" s="4" t="str">
        <f aca="false">IFERROR(INDEX(Students!$C$3:$C$114,MATCH(1,INDEX((Students!$K$3:$K$114="5D")*(Students!$L$3:$L$114=9),0),0)),"")</f>
        <v>Grade 1</v>
      </c>
      <c r="E11" s="4" t="n">
        <f aca="false">IFERROR(INDEX(Students!$D$3:$D$114,MATCH(1,INDEX((Students!$K$3:$K$114="5D")*(Students!$L$3:$L$114=9),0),0)),"")</f>
        <v>471</v>
      </c>
      <c r="F11" s="4" t="str">
        <f aca="false">IFERROR(INDEX(Students!$E$3:$E$114,MATCH(1,INDEX((Students!$K$3:$K$114="5D")*(Students!$L$3:$L$114=9),0),0)),"")</f>
        <v>Grade 3</v>
      </c>
    </row>
    <row r="12" customFormat="false" ht="15" hidden="false" customHeight="false" outlineLevel="0" collapsed="false">
      <c r="A12" s="4" t="n">
        <v>10</v>
      </c>
      <c r="B12" s="4" t="str">
        <f aca="false">IFERROR(INDEX(Students!$A$3:$A$114,MATCH(1,INDEX((Students!$K$3:$K$114="5D")*(Students!$L$3:$L$114=10),0),0)),"")</f>
        <v>S-041</v>
      </c>
      <c r="C12" s="4" t="n">
        <f aca="false">IFERROR(INDEX(Students!$B$3:$B$114,MATCH(1,INDEX((Students!$K$3:$K$114="5D")*(Students!$L$3:$L$114=10),0),0)),"")</f>
        <v>440</v>
      </c>
      <c r="D12" s="4" t="str">
        <f aca="false">IFERROR(INDEX(Students!$C$3:$C$114,MATCH(1,INDEX((Students!$K$3:$K$114="5D")*(Students!$L$3:$L$114=10),0),0)),"")</f>
        <v>Grade 2</v>
      </c>
      <c r="E12" s="4" t="n">
        <f aca="false">IFERROR(INDEX(Students!$D$3:$D$114,MATCH(1,INDEX((Students!$K$3:$K$114="5D")*(Students!$L$3:$L$114=10),0),0)),"")</f>
        <v>541</v>
      </c>
      <c r="F12" s="4" t="str">
        <f aca="false">IFERROR(INDEX(Students!$E$3:$E$114,MATCH(1,INDEX((Students!$K$3:$K$114="5D")*(Students!$L$3:$L$114=10),0),0)),"")</f>
        <v>Grade 5</v>
      </c>
    </row>
    <row r="13" customFormat="false" ht="15" hidden="false" customHeight="false" outlineLevel="0" collapsed="false">
      <c r="A13" s="4" t="n">
        <v>11</v>
      </c>
      <c r="B13" s="4" t="str">
        <f aca="false">IFERROR(INDEX(Students!$A$3:$A$114,MATCH(1,INDEX((Students!$K$3:$K$114="5D")*(Students!$L$3:$L$114=11),0),0)),"")</f>
        <v>S-042</v>
      </c>
      <c r="C13" s="4" t="n">
        <f aca="false">IFERROR(INDEX(Students!$B$3:$B$114,MATCH(1,INDEX((Students!$K$3:$K$114="5D")*(Students!$L$3:$L$114=11),0),0)),"")</f>
        <v>575</v>
      </c>
      <c r="D13" s="4" t="str">
        <f aca="false">IFERROR(INDEX(Students!$C$3:$C$114,MATCH(1,INDEX((Students!$K$3:$K$114="5D")*(Students!$L$3:$L$114=11),0),0)),"")</f>
        <v>Grade 5</v>
      </c>
      <c r="E13" s="4" t="n">
        <f aca="false">IFERROR(INDEX(Students!$D$3:$D$114,MATCH(1,INDEX((Students!$K$3:$K$114="5D")*(Students!$L$3:$L$114=11),0),0)),"")</f>
        <v>475</v>
      </c>
      <c r="F13" s="4" t="str">
        <f aca="false">IFERROR(INDEX(Students!$E$3:$E$114,MATCH(1,INDEX((Students!$K$3:$K$114="5D")*(Students!$L$3:$L$114=11),0),0)),"")</f>
        <v>Grade 3</v>
      </c>
    </row>
    <row r="14" customFormat="false" ht="15" hidden="false" customHeight="false" outlineLevel="0" collapsed="false">
      <c r="A14" s="4" t="n">
        <v>12</v>
      </c>
      <c r="B14" s="4" t="str">
        <f aca="false">IFERROR(INDEX(Students!$A$3:$A$114,MATCH(1,INDEX((Students!$K$3:$K$114="5D")*(Students!$L$3:$L$114=12),0),0)),"")</f>
        <v>S-047</v>
      </c>
      <c r="C14" s="4" t="n">
        <f aca="false">IFERROR(INDEX(Students!$B$3:$B$114,MATCH(1,INDEX((Students!$K$3:$K$114="5D")*(Students!$L$3:$L$114=12),0),0)),"")</f>
        <v>471</v>
      </c>
      <c r="D14" s="4" t="str">
        <f aca="false">IFERROR(INDEX(Students!$C$3:$C$114,MATCH(1,INDEX((Students!$K$3:$K$114="5D")*(Students!$L$3:$L$114=12),0),0)),"")</f>
        <v>Grade 3</v>
      </c>
      <c r="E14" s="4" t="n">
        <f aca="false">IFERROR(INDEX(Students!$D$3:$D$114,MATCH(1,INDEX((Students!$K$3:$K$114="5D")*(Students!$L$3:$L$114=12),0),0)),"")</f>
        <v>447</v>
      </c>
      <c r="F14" s="4" t="str">
        <f aca="false">IFERROR(INDEX(Students!$E$3:$E$114,MATCH(1,INDEX((Students!$K$3:$K$114="5D")*(Students!$L$3:$L$114=12),0),0)),"")</f>
        <v>Grade 2</v>
      </c>
    </row>
    <row r="15" customFormat="false" ht="15" hidden="false" customHeight="false" outlineLevel="0" collapsed="false">
      <c r="A15" s="4" t="n">
        <v>13</v>
      </c>
      <c r="B15" s="4" t="str">
        <f aca="false">IFERROR(INDEX(Students!$A$3:$A$114,MATCH(1,INDEX((Students!$K$3:$K$114="5D")*(Students!$L$3:$L$114=13),0),0)),"")</f>
        <v>S-052</v>
      </c>
      <c r="C15" s="4" t="n">
        <f aca="false">IFERROR(INDEX(Students!$B$3:$B$114,MATCH(1,INDEX((Students!$K$3:$K$114="5D")*(Students!$L$3:$L$114=13),0),0)),"")</f>
        <v>531</v>
      </c>
      <c r="D15" s="4" t="str">
        <f aca="false">IFERROR(INDEX(Students!$C$3:$C$114,MATCH(1,INDEX((Students!$K$3:$K$114="5D")*(Students!$L$3:$L$114=13),0),0)),"")</f>
        <v>Grade 4</v>
      </c>
      <c r="E15" s="4" t="n">
        <f aca="false">IFERROR(INDEX(Students!$D$3:$D$114,MATCH(1,INDEX((Students!$K$3:$K$114="5D")*(Students!$L$3:$L$114=13),0),0)),"")</f>
        <v>403</v>
      </c>
      <c r="F15" s="4" t="str">
        <f aca="false">IFERROR(INDEX(Students!$E$3:$E$114,MATCH(1,INDEX((Students!$K$3:$K$114="5D")*(Students!$L$3:$L$114=13),0),0)),"")</f>
        <v>Grade 1</v>
      </c>
    </row>
    <row r="16" customFormat="false" ht="15" hidden="false" customHeight="false" outlineLevel="0" collapsed="false">
      <c r="A16" s="4" t="n">
        <v>14</v>
      </c>
      <c r="B16" s="4" t="str">
        <f aca="false">IFERROR(INDEX(Students!$A$3:$A$114,MATCH(1,INDEX((Students!$K$3:$K$114="5D")*(Students!$L$3:$L$114=14),0),0)),"")</f>
        <v>S-055</v>
      </c>
      <c r="C16" s="4" t="n">
        <f aca="false">IFERROR(INDEX(Students!$B$3:$B$114,MATCH(1,INDEX((Students!$K$3:$K$114="5D")*(Students!$L$3:$L$114=14),0),0)),"")</f>
        <v>437</v>
      </c>
      <c r="D16" s="4" t="str">
        <f aca="false">IFERROR(INDEX(Students!$C$3:$C$114,MATCH(1,INDEX((Students!$K$3:$K$114="5D")*(Students!$L$3:$L$114=14),0),0)),"")</f>
        <v>Grade 2</v>
      </c>
      <c r="E16" s="4" t="n">
        <f aca="false">IFERROR(INDEX(Students!$D$3:$D$114,MATCH(1,INDEX((Students!$K$3:$K$114="5D")*(Students!$L$3:$L$114=14),0),0)),"")</f>
        <v>571</v>
      </c>
      <c r="F16" s="4" t="str">
        <f aca="false">IFERROR(INDEX(Students!$E$3:$E$114,MATCH(1,INDEX((Students!$K$3:$K$114="5D")*(Students!$L$3:$L$114=14),0),0)),"")</f>
        <v>Grade 5</v>
      </c>
    </row>
    <row r="17" customFormat="false" ht="15" hidden="false" customHeight="false" outlineLevel="0" collapsed="false">
      <c r="A17" s="4" t="n">
        <v>15</v>
      </c>
      <c r="B17" s="4" t="str">
        <f aca="false">IFERROR(INDEX(Students!$A$3:$A$114,MATCH(1,INDEX((Students!$K$3:$K$114="5D")*(Students!$L$3:$L$114=15),0),0)),"")</f>
        <v>S-059</v>
      </c>
      <c r="C17" s="4" t="n">
        <f aca="false">IFERROR(INDEX(Students!$B$3:$B$114,MATCH(1,INDEX((Students!$K$3:$K$114="5D")*(Students!$L$3:$L$114=15),0),0)),"")</f>
        <v>426</v>
      </c>
      <c r="D17" s="4" t="str">
        <f aca="false">IFERROR(INDEX(Students!$C$3:$C$114,MATCH(1,INDEX((Students!$K$3:$K$114="5D")*(Students!$L$3:$L$114=15),0),0)),"")</f>
        <v>Grade 1</v>
      </c>
      <c r="E17" s="4" t="n">
        <f aca="false">IFERROR(INDEX(Students!$D$3:$D$114,MATCH(1,INDEX((Students!$K$3:$K$114="5D")*(Students!$L$3:$L$114=15),0),0)),"")</f>
        <v>565</v>
      </c>
      <c r="F17" s="4" t="str">
        <f aca="false">IFERROR(INDEX(Students!$E$3:$E$114,MATCH(1,INDEX((Students!$K$3:$K$114="5D")*(Students!$L$3:$L$114=15),0),0)),"")</f>
        <v>Grade 5</v>
      </c>
    </row>
    <row r="18" customFormat="false" ht="15" hidden="false" customHeight="false" outlineLevel="0" collapsed="false">
      <c r="A18" s="4" t="n">
        <v>16</v>
      </c>
      <c r="B18" s="4" t="str">
        <f aca="false">IFERROR(INDEX(Students!$A$3:$A$114,MATCH(1,INDEX((Students!$K$3:$K$114="5D")*(Students!$L$3:$L$114=16),0),0)),"")</f>
        <v>S-066</v>
      </c>
      <c r="C18" s="4" t="n">
        <f aca="false">IFERROR(INDEX(Students!$B$3:$B$114,MATCH(1,INDEX((Students!$K$3:$K$114="5D")*(Students!$L$3:$L$114=16),0),0)),"")</f>
        <v>480</v>
      </c>
      <c r="D18" s="4" t="str">
        <f aca="false">IFERROR(INDEX(Students!$C$3:$C$114,MATCH(1,INDEX((Students!$K$3:$K$114="5D")*(Students!$L$3:$L$114=16),0),0)),"")</f>
        <v>Grade 3</v>
      </c>
      <c r="E18" s="4" t="n">
        <f aca="false">IFERROR(INDEX(Students!$D$3:$D$114,MATCH(1,INDEX((Students!$K$3:$K$114="5D")*(Students!$L$3:$L$114=16),0),0)),"")</f>
        <v>504</v>
      </c>
      <c r="F18" s="4" t="str">
        <f aca="false">IFERROR(INDEX(Students!$E$3:$E$114,MATCH(1,INDEX((Students!$K$3:$K$114="5D")*(Students!$L$3:$L$114=16),0),0)),"")</f>
        <v>Grade 4</v>
      </c>
    </row>
    <row r="19" customFormat="false" ht="15" hidden="false" customHeight="false" outlineLevel="0" collapsed="false">
      <c r="A19" s="4" t="n">
        <v>17</v>
      </c>
      <c r="B19" s="4" t="str">
        <f aca="false">IFERROR(INDEX(Students!$A$3:$A$114,MATCH(1,INDEX((Students!$K$3:$K$114="5D")*(Students!$L$3:$L$114=17),0),0)),"")</f>
        <v>S-068</v>
      </c>
      <c r="C19" s="4" t="n">
        <f aca="false">IFERROR(INDEX(Students!$B$3:$B$114,MATCH(1,INDEX((Students!$K$3:$K$114="5D")*(Students!$L$3:$L$114=17),0),0)),"")</f>
        <v>423</v>
      </c>
      <c r="D19" s="4" t="str">
        <f aca="false">IFERROR(INDEX(Students!$C$3:$C$114,MATCH(1,INDEX((Students!$K$3:$K$114="5D")*(Students!$L$3:$L$114=17),0),0)),"")</f>
        <v>Grade 1</v>
      </c>
      <c r="E19" s="4" t="n">
        <f aca="false">IFERROR(INDEX(Students!$D$3:$D$114,MATCH(1,INDEX((Students!$K$3:$K$114="5D")*(Students!$L$3:$L$114=17),0),0)),"")</f>
        <v>450</v>
      </c>
      <c r="F19" s="4" t="str">
        <f aca="false">IFERROR(INDEX(Students!$E$3:$E$114,MATCH(1,INDEX((Students!$K$3:$K$114="5D")*(Students!$L$3:$L$114=17),0),0)),"")</f>
        <v>Grade 2</v>
      </c>
    </row>
    <row r="20" customFormat="false" ht="15" hidden="false" customHeight="false" outlineLevel="0" collapsed="false">
      <c r="A20" s="4" t="n">
        <v>18</v>
      </c>
      <c r="B20" s="4" t="str">
        <f aca="false">IFERROR(INDEX(Students!$A$3:$A$114,MATCH(1,INDEX((Students!$K$3:$K$114="5D")*(Students!$L$3:$L$114=18),0),0)),"")</f>
        <v>S-072</v>
      </c>
      <c r="C20" s="4" t="n">
        <f aca="false">IFERROR(INDEX(Students!$B$3:$B$114,MATCH(1,INDEX((Students!$K$3:$K$114="5D")*(Students!$L$3:$L$114=18),0),0)),"")</f>
        <v>499</v>
      </c>
      <c r="D20" s="4" t="str">
        <f aca="false">IFERROR(INDEX(Students!$C$3:$C$114,MATCH(1,INDEX((Students!$K$3:$K$114="5D")*(Students!$L$3:$L$114=18),0),0)),"")</f>
        <v>Grade 3</v>
      </c>
      <c r="E20" s="4" t="n">
        <f aca="false">IFERROR(INDEX(Students!$D$3:$D$114,MATCH(1,INDEX((Students!$K$3:$K$114="5D")*(Students!$L$3:$L$114=18),0),0)),"")</f>
        <v>541</v>
      </c>
      <c r="F20" s="4" t="str">
        <f aca="false">IFERROR(INDEX(Students!$E$3:$E$114,MATCH(1,INDEX((Students!$K$3:$K$114="5D")*(Students!$L$3:$L$114=18),0),0)),"")</f>
        <v>Grade 5</v>
      </c>
    </row>
    <row r="21" customFormat="false" ht="15" hidden="false" customHeight="false" outlineLevel="0" collapsed="false">
      <c r="A21" s="4" t="n">
        <v>19</v>
      </c>
      <c r="B21" s="4" t="str">
        <f aca="false">IFERROR(INDEX(Students!$A$3:$A$114,MATCH(1,INDEX((Students!$K$3:$K$114="5D")*(Students!$L$3:$L$114=19),0),0)),"")</f>
        <v>S-074</v>
      </c>
      <c r="C21" s="4" t="n">
        <f aca="false">IFERROR(INDEX(Students!$B$3:$B$114,MATCH(1,INDEX((Students!$K$3:$K$114="5D")*(Students!$L$3:$L$114=19),0),0)),"")</f>
        <v>488</v>
      </c>
      <c r="D21" s="4" t="str">
        <f aca="false">IFERROR(INDEX(Students!$C$3:$C$114,MATCH(1,INDEX((Students!$K$3:$K$114="5D")*(Students!$L$3:$L$114=19),0),0)),"")</f>
        <v>Grade 3</v>
      </c>
      <c r="E21" s="4" t="n">
        <f aca="false">IFERROR(INDEX(Students!$D$3:$D$114,MATCH(1,INDEX((Students!$K$3:$K$114="5D")*(Students!$L$3:$L$114=19),0),0)),"")</f>
        <v>483</v>
      </c>
      <c r="F21" s="4" t="str">
        <f aca="false">IFERROR(INDEX(Students!$E$3:$E$114,MATCH(1,INDEX((Students!$K$3:$K$114="5D")*(Students!$L$3:$L$114=19),0),0)),"")</f>
        <v>Grade 3</v>
      </c>
    </row>
    <row r="22" customFormat="false" ht="15" hidden="false" customHeight="false" outlineLevel="0" collapsed="false">
      <c r="A22" s="4" t="n">
        <v>20</v>
      </c>
      <c r="B22" s="4" t="str">
        <f aca="false">IFERROR(INDEX(Students!$A$3:$A$114,MATCH(1,INDEX((Students!$K$3:$K$114="5D")*(Students!$L$3:$L$114=20),0),0)),"")</f>
        <v>S-079</v>
      </c>
      <c r="C22" s="4" t="n">
        <f aca="false">IFERROR(INDEX(Students!$B$3:$B$114,MATCH(1,INDEX((Students!$K$3:$K$114="5D")*(Students!$L$3:$L$114=20),0),0)),"")</f>
        <v>556</v>
      </c>
      <c r="D22" s="4" t="str">
        <f aca="false">IFERROR(INDEX(Students!$C$3:$C$114,MATCH(1,INDEX((Students!$K$3:$K$114="5D")*(Students!$L$3:$L$114=20),0),0)),"")</f>
        <v>Grade 5</v>
      </c>
      <c r="E22" s="4" t="n">
        <f aca="false">IFERROR(INDEX(Students!$D$3:$D$114,MATCH(1,INDEX((Students!$K$3:$K$114="5D")*(Students!$L$3:$L$114=20),0),0)),"")</f>
        <v>544</v>
      </c>
      <c r="F22" s="4" t="str">
        <f aca="false">IFERROR(INDEX(Students!$E$3:$E$114,MATCH(1,INDEX((Students!$K$3:$K$114="5D")*(Students!$L$3:$L$114=20),0),0)),"")</f>
        <v>Grade 5</v>
      </c>
    </row>
    <row r="23" customFormat="false" ht="15" hidden="false" customHeight="false" outlineLevel="0" collapsed="false">
      <c r="A23" s="4" t="n">
        <v>21</v>
      </c>
      <c r="B23" s="4" t="str">
        <f aca="false">IFERROR(INDEX(Students!$A$3:$A$114,MATCH(1,INDEX((Students!$K$3:$K$114="5D")*(Students!$L$3:$L$114=21),0),0)),"")</f>
        <v>S-083</v>
      </c>
      <c r="C23" s="4" t="n">
        <f aca="false">IFERROR(INDEX(Students!$B$3:$B$114,MATCH(1,INDEX((Students!$K$3:$K$114="5D")*(Students!$L$3:$L$114=21),0),0)),"")</f>
        <v>559</v>
      </c>
      <c r="D23" s="4" t="str">
        <f aca="false">IFERROR(INDEX(Students!$C$3:$C$114,MATCH(1,INDEX((Students!$K$3:$K$114="5D")*(Students!$L$3:$L$114=21),0),0)),"")</f>
        <v>Grade 5</v>
      </c>
      <c r="E23" s="4" t="n">
        <f aca="false">IFERROR(INDEX(Students!$D$3:$D$114,MATCH(1,INDEX((Students!$K$3:$K$114="5D")*(Students!$L$3:$L$114=21),0),0)),"")</f>
        <v>454</v>
      </c>
      <c r="F23" s="4" t="str">
        <f aca="false">IFERROR(INDEX(Students!$E$3:$E$114,MATCH(1,INDEX((Students!$K$3:$K$114="5D")*(Students!$L$3:$L$114=21),0),0)),"")</f>
        <v>Grade 2</v>
      </c>
    </row>
    <row r="24" customFormat="false" ht="15" hidden="false" customHeight="false" outlineLevel="0" collapsed="false">
      <c r="A24" s="4" t="n">
        <v>22</v>
      </c>
      <c r="B24" s="4" t="str">
        <f aca="false">IFERROR(INDEX(Students!$A$3:$A$114,MATCH(1,INDEX((Students!$K$3:$K$114="5D")*(Students!$L$3:$L$114=22),0),0)),"")</f>
        <v>S-084</v>
      </c>
      <c r="C24" s="4" t="n">
        <f aca="false">IFERROR(INDEX(Students!$B$3:$B$114,MATCH(1,INDEX((Students!$K$3:$K$114="5D")*(Students!$L$3:$L$114=22),0),0)),"")</f>
        <v>509</v>
      </c>
      <c r="D24" s="4" t="str">
        <f aca="false">IFERROR(INDEX(Students!$C$3:$C$114,MATCH(1,INDEX((Students!$K$3:$K$114="5D")*(Students!$L$3:$L$114=22),0),0)),"")</f>
        <v>Grade 4</v>
      </c>
      <c r="E24" s="4" t="n">
        <f aca="false">IFERROR(INDEX(Students!$D$3:$D$114,MATCH(1,INDEX((Students!$K$3:$K$114="5D")*(Students!$L$3:$L$114=22),0),0)),"")</f>
        <v>448</v>
      </c>
      <c r="F24" s="4" t="str">
        <f aca="false">IFERROR(INDEX(Students!$E$3:$E$114,MATCH(1,INDEX((Students!$K$3:$K$114="5D")*(Students!$L$3:$L$114=22),0),0)),"")</f>
        <v>Grade 2</v>
      </c>
    </row>
    <row r="25" customFormat="false" ht="15" hidden="false" customHeight="false" outlineLevel="0" collapsed="false">
      <c r="A25" s="4" t="n">
        <v>23</v>
      </c>
      <c r="B25" s="4" t="str">
        <f aca="false">IFERROR(INDEX(Students!$A$3:$A$114,MATCH(1,INDEX((Students!$K$3:$K$114="5D")*(Students!$L$3:$L$114=23),0),0)),"")</f>
        <v>S-089</v>
      </c>
      <c r="C25" s="4" t="n">
        <f aca="false">IFERROR(INDEX(Students!$B$3:$B$114,MATCH(1,INDEX((Students!$K$3:$K$114="5D")*(Students!$L$3:$L$114=23),0),0)),"")</f>
        <v>514</v>
      </c>
      <c r="D25" s="4" t="str">
        <f aca="false">IFERROR(INDEX(Students!$C$3:$C$114,MATCH(1,INDEX((Students!$K$3:$K$114="5D")*(Students!$L$3:$L$114=23),0),0)),"")</f>
        <v>Grade 4</v>
      </c>
      <c r="E25" s="4" t="n">
        <f aca="false">IFERROR(INDEX(Students!$D$3:$D$114,MATCH(1,INDEX((Students!$K$3:$K$114="5D")*(Students!$L$3:$L$114=23),0),0)),"")</f>
        <v>561</v>
      </c>
      <c r="F25" s="4" t="str">
        <f aca="false">IFERROR(INDEX(Students!$E$3:$E$114,MATCH(1,INDEX((Students!$K$3:$K$114="5D")*(Students!$L$3:$L$114=23),0),0)),"")</f>
        <v>Grade 5</v>
      </c>
    </row>
    <row r="26" customFormat="false" ht="15" hidden="false" customHeight="false" outlineLevel="0" collapsed="false">
      <c r="A26" s="4" t="n">
        <v>24</v>
      </c>
      <c r="B26" s="4" t="str">
        <f aca="false">IFERROR(INDEX(Students!$A$3:$A$114,MATCH(1,INDEX((Students!$K$3:$K$114="5D")*(Students!$L$3:$L$114=24),0),0)),"")</f>
        <v>S-091</v>
      </c>
      <c r="C26" s="4" t="n">
        <f aca="false">IFERROR(INDEX(Students!$B$3:$B$114,MATCH(1,INDEX((Students!$K$3:$K$114="5D")*(Students!$L$3:$L$114=24),0),0)),"")</f>
        <v>501</v>
      </c>
      <c r="D26" s="4" t="str">
        <f aca="false">IFERROR(INDEX(Students!$C$3:$C$114,MATCH(1,INDEX((Students!$K$3:$K$114="5D")*(Students!$L$3:$L$114=24),0),0)),"")</f>
        <v>Grade 4</v>
      </c>
      <c r="E26" s="4" t="n">
        <f aca="false">IFERROR(INDEX(Students!$D$3:$D$114,MATCH(1,INDEX((Students!$K$3:$K$114="5D")*(Students!$L$3:$L$114=24),0),0)),"")</f>
        <v>539</v>
      </c>
      <c r="F26" s="4" t="str">
        <f aca="false">IFERROR(INDEX(Students!$E$3:$E$114,MATCH(1,INDEX((Students!$K$3:$K$114="5D")*(Students!$L$3:$L$114=24),0),0)),"")</f>
        <v>Grade 4</v>
      </c>
    </row>
    <row r="27" customFormat="false" ht="15" hidden="false" customHeight="false" outlineLevel="0" collapsed="false">
      <c r="A27" s="4" t="n">
        <v>25</v>
      </c>
      <c r="B27" s="4" t="str">
        <f aca="false">IFERROR(INDEX(Students!$A$3:$A$114,MATCH(1,INDEX((Students!$K$3:$K$114="5D")*(Students!$L$3:$L$114=25),0),0)),"")</f>
        <v>S-092</v>
      </c>
      <c r="C27" s="4" t="n">
        <f aca="false">IFERROR(INDEX(Students!$B$3:$B$114,MATCH(1,INDEX((Students!$K$3:$K$114="5D")*(Students!$L$3:$L$114=25),0),0)),"")</f>
        <v>475</v>
      </c>
      <c r="D27" s="4" t="str">
        <f aca="false">IFERROR(INDEX(Students!$C$3:$C$114,MATCH(1,INDEX((Students!$K$3:$K$114="5D")*(Students!$L$3:$L$114=25),0),0)),"")</f>
        <v>Grade 3</v>
      </c>
      <c r="E27" s="4" t="n">
        <f aca="false">IFERROR(INDEX(Students!$D$3:$D$114,MATCH(1,INDEX((Students!$K$3:$K$114="5D")*(Students!$L$3:$L$114=25),0),0)),"")</f>
        <v>569</v>
      </c>
      <c r="F27" s="4" t="str">
        <f aca="false">IFERROR(INDEX(Students!$E$3:$E$114,MATCH(1,INDEX((Students!$K$3:$K$114="5D")*(Students!$L$3:$L$114=25),0),0)),"")</f>
        <v>Grade 5</v>
      </c>
    </row>
    <row r="28" customFormat="false" ht="15" hidden="false" customHeight="false" outlineLevel="0" collapsed="false">
      <c r="A28" s="4" t="n">
        <v>26</v>
      </c>
      <c r="B28" s="4" t="str">
        <f aca="false">IFERROR(INDEX(Students!$A$3:$A$114,MATCH(1,INDEX((Students!$K$3:$K$114="5D")*(Students!$L$3:$L$114=26),0),0)),"")</f>
        <v>S-102</v>
      </c>
      <c r="C28" s="4" t="n">
        <f aca="false">IFERROR(INDEX(Students!$B$3:$B$114,MATCH(1,INDEX((Students!$K$3:$K$114="5D")*(Students!$L$3:$L$114=26),0),0)),"")</f>
        <v>487</v>
      </c>
      <c r="D28" s="4" t="str">
        <f aca="false">IFERROR(INDEX(Students!$C$3:$C$114,MATCH(1,INDEX((Students!$K$3:$K$114="5D")*(Students!$L$3:$L$114=26),0),0)),"")</f>
        <v>Grade 3</v>
      </c>
      <c r="E28" s="4" t="n">
        <f aca="false">IFERROR(INDEX(Students!$D$3:$D$114,MATCH(1,INDEX((Students!$K$3:$K$114="5D")*(Students!$L$3:$L$114=26),0),0)),"")</f>
        <v>564</v>
      </c>
      <c r="F28" s="4" t="str">
        <f aca="false">IFERROR(INDEX(Students!$E$3:$E$114,MATCH(1,INDEX((Students!$K$3:$K$114="5D")*(Students!$L$3:$L$114=26),0),0)),"")</f>
        <v>Grade 5</v>
      </c>
    </row>
    <row r="29" customFormat="false" ht="15" hidden="false" customHeight="false" outlineLevel="0" collapsed="false">
      <c r="A29" s="4" t="n">
        <v>27</v>
      </c>
      <c r="B29" s="4" t="str">
        <f aca="false">IFERROR(INDEX(Students!$A$3:$A$114,MATCH(1,INDEX((Students!$K$3:$K$114="5D")*(Students!$L$3:$L$114=27),0),0)),"")</f>
        <v>S-106</v>
      </c>
      <c r="C29" s="4" t="n">
        <f aca="false">IFERROR(INDEX(Students!$B$3:$B$114,MATCH(1,INDEX((Students!$K$3:$K$114="5D")*(Students!$L$3:$L$114=27),0),0)),"")</f>
        <v>531</v>
      </c>
      <c r="D29" s="4" t="str">
        <f aca="false">IFERROR(INDEX(Students!$C$3:$C$114,MATCH(1,INDEX((Students!$K$3:$K$114="5D")*(Students!$L$3:$L$114=27),0),0)),"")</f>
        <v>Grade 4</v>
      </c>
      <c r="E29" s="4" t="n">
        <f aca="false">IFERROR(INDEX(Students!$D$3:$D$114,MATCH(1,INDEX((Students!$K$3:$K$114="5D")*(Students!$L$3:$L$114=27),0),0)),"")</f>
        <v>477</v>
      </c>
      <c r="F29" s="4" t="str">
        <f aca="false">IFERROR(INDEX(Students!$E$3:$E$114,MATCH(1,INDEX((Students!$K$3:$K$114="5D")*(Students!$L$3:$L$114=27),0),0)),"")</f>
        <v>Grade 3</v>
      </c>
    </row>
    <row r="30" customFormat="false" ht="15" hidden="false" customHeight="false" outlineLevel="0" collapsed="false">
      <c r="A30" s="4" t="n">
        <v>28</v>
      </c>
      <c r="B30" s="4" t="str">
        <f aca="false">IFERROR(INDEX(Students!$A$3:$A$114,MATCH(1,INDEX((Students!$K$3:$K$114="5D")*(Students!$L$3:$L$114=28),0),0)),"")</f>
        <v>S-110</v>
      </c>
      <c r="C30" s="4" t="n">
        <f aca="false">IFERROR(INDEX(Students!$B$3:$B$114,MATCH(1,INDEX((Students!$K$3:$K$114="5D")*(Students!$L$3:$L$114=28),0),0)),"")</f>
        <v>516</v>
      </c>
      <c r="D30" s="4" t="str">
        <f aca="false">IFERROR(INDEX(Students!$C$3:$C$114,MATCH(1,INDEX((Students!$K$3:$K$114="5D")*(Students!$L$3:$L$114=28),0),0)),"")</f>
        <v>Grade 4</v>
      </c>
      <c r="E30" s="4" t="n">
        <f aca="false">IFERROR(INDEX(Students!$D$3:$D$114,MATCH(1,INDEX((Students!$K$3:$K$114="5D")*(Students!$L$3:$L$114=28),0),0)),"")</f>
        <v>397</v>
      </c>
      <c r="F30" s="4" t="str">
        <f aca="false">IFERROR(INDEX(Students!$E$3:$E$114,MATCH(1,INDEX((Students!$K$3:$K$114="5D")*(Students!$L$3:$L$114=28),0),0)),"")</f>
        <v>Grade 1</v>
      </c>
    </row>
    <row r="31" customFormat="false" ht="15" hidden="false" customHeight="false" outlineLevel="0" collapsed="false">
      <c r="A31" s="4" t="n">
        <v>29</v>
      </c>
      <c r="B31" s="4" t="str">
        <f aca="false">IFERROR(INDEX(Students!$A$3:$A$114,MATCH(1,INDEX((Students!$K$3:$K$114="5D")*(Students!$L$3:$L$114=29),0),0)),"")</f>
        <v/>
      </c>
      <c r="C31" s="4" t="str">
        <f aca="false">IFERROR(INDEX(Students!$B$3:$B$114,MATCH(1,INDEX((Students!$K$3:$K$114="5D")*(Students!$L$3:$L$114=29),0),0)),"")</f>
        <v/>
      </c>
      <c r="D31" s="4" t="str">
        <f aca="false">IFERROR(INDEX(Students!$C$3:$C$114,MATCH(1,INDEX((Students!$K$3:$K$114="5D")*(Students!$L$3:$L$114=29),0),0)),"")</f>
        <v/>
      </c>
      <c r="E31" s="4" t="str">
        <f aca="false">IFERROR(INDEX(Students!$D$3:$D$114,MATCH(1,INDEX((Students!$K$3:$K$114="5D")*(Students!$L$3:$L$114=29),0),0)),"")</f>
        <v/>
      </c>
      <c r="F31" s="4" t="str">
        <f aca="false">IFERROR(INDEX(Students!$E$3:$E$114,MATCH(1,INDEX((Students!$K$3:$K$114="5D")*(Students!$L$3:$L$114=29),0),0)),"")</f>
        <v/>
      </c>
    </row>
    <row r="32" customFormat="false" ht="15" hidden="false" customHeight="false" outlineLevel="0" collapsed="false">
      <c r="A32" s="4" t="n">
        <v>30</v>
      </c>
      <c r="B32" s="4" t="str">
        <f aca="false">IFERROR(INDEX(Students!$A$3:$A$114,MATCH(1,INDEX((Students!$K$3:$K$114="5D")*(Students!$L$3:$L$114=30),0),0)),"")</f>
        <v/>
      </c>
      <c r="C32" s="4" t="str">
        <f aca="false">IFERROR(INDEX(Students!$B$3:$B$114,MATCH(1,INDEX((Students!$K$3:$K$114="5D")*(Students!$L$3:$L$114=30),0),0)),"")</f>
        <v/>
      </c>
      <c r="D32" s="4" t="str">
        <f aca="false">IFERROR(INDEX(Students!$C$3:$C$114,MATCH(1,INDEX((Students!$K$3:$K$114="5D")*(Students!$L$3:$L$114=30),0),0)),"")</f>
        <v/>
      </c>
      <c r="E32" s="4" t="str">
        <f aca="false">IFERROR(INDEX(Students!$D$3:$D$114,MATCH(1,INDEX((Students!$K$3:$K$114="5D")*(Students!$L$3:$L$114=30),0),0)),"")</f>
        <v/>
      </c>
      <c r="F32" s="4" t="str">
        <f aca="false">IFERROR(INDEX(Students!$E$3:$E$114,MATCH(1,INDEX((Students!$K$3:$K$114="5D")*(Students!$L$3:$L$114=30),0),0)),"")</f>
        <v/>
      </c>
    </row>
    <row r="33" customFormat="false" ht="15" hidden="false" customHeight="false" outlineLevel="0" collapsed="false">
      <c r="A33" s="4" t="n">
        <v>31</v>
      </c>
      <c r="B33" s="4" t="str">
        <f aca="false">IFERROR(INDEX(Students!$A$3:$A$114,MATCH(1,INDEX((Students!$K$3:$K$114="5D")*(Students!$L$3:$L$114=31),0),0)),"")</f>
        <v/>
      </c>
      <c r="C33" s="4" t="str">
        <f aca="false">IFERROR(INDEX(Students!$B$3:$B$114,MATCH(1,INDEX((Students!$K$3:$K$114="5D")*(Students!$L$3:$L$114=31),0),0)),"")</f>
        <v/>
      </c>
      <c r="D33" s="4" t="str">
        <f aca="false">IFERROR(INDEX(Students!$C$3:$C$114,MATCH(1,INDEX((Students!$K$3:$K$114="5D")*(Students!$L$3:$L$114=31),0),0)),"")</f>
        <v/>
      </c>
      <c r="E33" s="4" t="str">
        <f aca="false">IFERROR(INDEX(Students!$D$3:$D$114,MATCH(1,INDEX((Students!$K$3:$K$114="5D")*(Students!$L$3:$L$114=31),0),0)),"")</f>
        <v/>
      </c>
      <c r="F33" s="4" t="str">
        <f aca="false">IFERROR(INDEX(Students!$E$3:$E$114,MATCH(1,INDEX((Students!$K$3:$K$114="5D")*(Students!$L$3:$L$114=31),0),0)),"")</f>
        <v/>
      </c>
    </row>
    <row r="34" customFormat="false" ht="15" hidden="false" customHeight="false" outlineLevel="0" collapsed="false">
      <c r="A34" s="4" t="n">
        <v>32</v>
      </c>
      <c r="B34" s="4" t="str">
        <f aca="false">IFERROR(INDEX(Students!$A$3:$A$114,MATCH(1,INDEX((Students!$K$3:$K$114="5D")*(Students!$L$3:$L$114=32),0),0)),"")</f>
        <v/>
      </c>
      <c r="C34" s="4" t="str">
        <f aca="false">IFERROR(INDEX(Students!$B$3:$B$114,MATCH(1,INDEX((Students!$K$3:$K$114="5D")*(Students!$L$3:$L$114=32),0),0)),"")</f>
        <v/>
      </c>
      <c r="D34" s="4" t="str">
        <f aca="false">IFERROR(INDEX(Students!$C$3:$C$114,MATCH(1,INDEX((Students!$K$3:$K$114="5D")*(Students!$L$3:$L$114=32),0),0)),"")</f>
        <v/>
      </c>
      <c r="E34" s="4" t="str">
        <f aca="false">IFERROR(INDEX(Students!$D$3:$D$114,MATCH(1,INDEX((Students!$K$3:$K$114="5D")*(Students!$L$3:$L$114=32),0),0)),"")</f>
        <v/>
      </c>
      <c r="F34" s="4" t="str">
        <f aca="false">IFERROR(INDEX(Students!$E$3:$E$114,MATCH(1,INDEX((Students!$K$3:$K$114="5D")*(Students!$L$3:$L$114=32),0),0)),"")</f>
        <v/>
      </c>
    </row>
    <row r="35" customFormat="false" ht="15" hidden="false" customHeight="false" outlineLevel="0" collapsed="false">
      <c r="A35" s="4" t="n">
        <v>33</v>
      </c>
      <c r="B35" s="4" t="str">
        <f aca="false">IFERROR(INDEX(Students!$A$3:$A$114,MATCH(1,INDEX((Students!$K$3:$K$114="5D")*(Students!$L$3:$L$114=33),0),0)),"")</f>
        <v/>
      </c>
      <c r="C35" s="4" t="str">
        <f aca="false">IFERROR(INDEX(Students!$B$3:$B$114,MATCH(1,INDEX((Students!$K$3:$K$114="5D")*(Students!$L$3:$L$114=33),0),0)),"")</f>
        <v/>
      </c>
      <c r="D35" s="4" t="str">
        <f aca="false">IFERROR(INDEX(Students!$C$3:$C$114,MATCH(1,INDEX((Students!$K$3:$K$114="5D")*(Students!$L$3:$L$114=33),0),0)),"")</f>
        <v/>
      </c>
      <c r="E35" s="4" t="str">
        <f aca="false">IFERROR(INDEX(Students!$D$3:$D$114,MATCH(1,INDEX((Students!$K$3:$K$114="5D")*(Students!$L$3:$L$114=33),0),0)),"")</f>
        <v/>
      </c>
      <c r="F35" s="4" t="str">
        <f aca="false">IFERROR(INDEX(Students!$E$3:$E$114,MATCH(1,INDEX((Students!$K$3:$K$114="5D")*(Students!$L$3:$L$114=33),0),0)),"")</f>
        <v/>
      </c>
    </row>
    <row r="36" customFormat="false" ht="15" hidden="false" customHeight="false" outlineLevel="0" collapsed="false">
      <c r="A36" s="4" t="n">
        <v>34</v>
      </c>
      <c r="B36" s="4" t="str">
        <f aca="false">IFERROR(INDEX(Students!$A$3:$A$114,MATCH(1,INDEX((Students!$K$3:$K$114="5D")*(Students!$L$3:$L$114=34),0),0)),"")</f>
        <v/>
      </c>
      <c r="C36" s="4" t="str">
        <f aca="false">IFERROR(INDEX(Students!$B$3:$B$114,MATCH(1,INDEX((Students!$K$3:$K$114="5D")*(Students!$L$3:$L$114=34),0),0)),"")</f>
        <v/>
      </c>
      <c r="D36" s="4" t="str">
        <f aca="false">IFERROR(INDEX(Students!$C$3:$C$114,MATCH(1,INDEX((Students!$K$3:$K$114="5D")*(Students!$L$3:$L$114=34),0),0)),"")</f>
        <v/>
      </c>
      <c r="E36" s="4" t="str">
        <f aca="false">IFERROR(INDEX(Students!$D$3:$D$114,MATCH(1,INDEX((Students!$K$3:$K$114="5D")*(Students!$L$3:$L$114=34),0),0)),"")</f>
        <v/>
      </c>
      <c r="F36" s="4" t="str">
        <f aca="false">IFERROR(INDEX(Students!$E$3:$E$114,MATCH(1,INDEX((Students!$K$3:$K$114="5D")*(Students!$L$3:$L$114=34),0),0)),"")</f>
        <v/>
      </c>
    </row>
    <row r="37" customFormat="false" ht="15" hidden="false" customHeight="false" outlineLevel="0" collapsed="false">
      <c r="A37" s="4" t="n">
        <v>35</v>
      </c>
      <c r="B37" s="4" t="str">
        <f aca="false">IFERROR(INDEX(Students!$A$3:$A$114,MATCH(1,INDEX((Students!$K$3:$K$114="5D")*(Students!$L$3:$L$114=35),0),0)),"")</f>
        <v/>
      </c>
      <c r="C37" s="4" t="str">
        <f aca="false">IFERROR(INDEX(Students!$B$3:$B$114,MATCH(1,INDEX((Students!$K$3:$K$114="5D")*(Students!$L$3:$L$114=35),0),0)),"")</f>
        <v/>
      </c>
      <c r="D37" s="4" t="str">
        <f aca="false">IFERROR(INDEX(Students!$C$3:$C$114,MATCH(1,INDEX((Students!$K$3:$K$114="5D")*(Students!$L$3:$L$114=35),0),0)),"")</f>
        <v/>
      </c>
      <c r="E37" s="4" t="str">
        <f aca="false">IFERROR(INDEX(Students!$D$3:$D$114,MATCH(1,INDEX((Students!$K$3:$K$114="5D")*(Students!$L$3:$L$114=35),0),0)),"")</f>
        <v/>
      </c>
      <c r="F37" s="4" t="str">
        <f aca="false">IFERROR(INDEX(Students!$E$3:$E$114,MATCH(1,INDEX((Students!$K$3:$K$114="5D")*(Students!$L$3:$L$114=35),0),0)),"")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2026-10-11T23:30:29Z</dcterms:created>
  <dc:creator>openpyxl</dc:creator>
  <dc:description/>
  <dc:language>en-US</dc:language>
  <cp:lastModifiedBy/>
  <dcterms:modified xsi:type="dcterms:W3CDTF">2026-10-11T23:30:29Z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