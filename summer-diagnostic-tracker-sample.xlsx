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" sheetId="1" state="visible" r:id="rId3"/>
    <sheet name="Summary" sheetId="2" state="visible" r:id="rId4"/>
    <sheet name="Week 1" sheetId="3" state="visible" r:id="rId5"/>
    <sheet name="Week 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<sst xmlns="http://schemas.openxmlformats.org/spreadsheetml/2006/main" count="1350" uniqueCount="205">
  <si>
    <t xml:space="preserve">Sample data. All students are fictional (IDs only, no names). Blue cells are typed in; black cells are formulas.</t>
  </si>
  <si>
    <t xml:space="preserve">Student ID</t>
  </si>
  <si>
    <t xml:space="preserve">Grade</t>
  </si>
  <si>
    <t xml:space="preserve">Testing Week</t>
  </si>
  <si>
    <t xml:space="preserve">Week 1 #</t>
  </si>
  <si>
    <t xml:space="preserve">Week 2 #</t>
  </si>
  <si>
    <t xml:space="preserve">S-001</t>
  </si>
  <si>
    <t xml:space="preserve">Week 1</t>
  </si>
  <si>
    <t xml:space="preserve">S-002</t>
  </si>
  <si>
    <t xml:space="preserve">S-003</t>
  </si>
  <si>
    <t xml:space="preserve">S-004</t>
  </si>
  <si>
    <t xml:space="preserve">Week 2</t>
  </si>
  <si>
    <t xml:space="preserve">S-005</t>
  </si>
  <si>
    <t xml:space="preserve">S-006</t>
  </si>
  <si>
    <t xml:space="preserve">S-007</t>
  </si>
  <si>
    <t xml:space="preserve">S-008</t>
  </si>
  <si>
    <t xml:space="preserve">S-009</t>
  </si>
  <si>
    <t xml:space="preserve">S-010</t>
  </si>
  <si>
    <t xml:space="preserve">S-011</t>
  </si>
  <si>
    <t xml:space="preserve">S-012</t>
  </si>
  <si>
    <t xml:space="preserve">S-013</t>
  </si>
  <si>
    <t xml:space="preserve">S-014</t>
  </si>
  <si>
    <t xml:space="preserve">S-015</t>
  </si>
  <si>
    <t xml:space="preserve">S-016</t>
  </si>
  <si>
    <t xml:space="preserve">S-017</t>
  </si>
  <si>
    <t xml:space="preserve">S-018</t>
  </si>
  <si>
    <t xml:space="preserve">S-019</t>
  </si>
  <si>
    <t xml:space="preserve">S-020</t>
  </si>
  <si>
    <t xml:space="preserve">S-021</t>
  </si>
  <si>
    <t xml:space="preserve">S-022</t>
  </si>
  <si>
    <t xml:space="preserve">S-023</t>
  </si>
  <si>
    <t xml:space="preserve">S-024</t>
  </si>
  <si>
    <t xml:space="preserve">S-025</t>
  </si>
  <si>
    <t xml:space="preserve">S-026</t>
  </si>
  <si>
    <t xml:space="preserve">S-027</t>
  </si>
  <si>
    <t xml:space="preserve">S-028</t>
  </si>
  <si>
    <t xml:space="preserve">S-029</t>
  </si>
  <si>
    <t xml:space="preserve">S-030</t>
  </si>
  <si>
    <t xml:space="preserve">S-031</t>
  </si>
  <si>
    <t xml:space="preserve">S-032</t>
  </si>
  <si>
    <t xml:space="preserve">S-033</t>
  </si>
  <si>
    <t xml:space="preserve">S-034</t>
  </si>
  <si>
    <t xml:space="preserve">S-035</t>
  </si>
  <si>
    <t xml:space="preserve">S-036</t>
  </si>
  <si>
    <t xml:space="preserve">S-037</t>
  </si>
  <si>
    <t xml:space="preserve">S-038</t>
  </si>
  <si>
    <t xml:space="preserve">S-039</t>
  </si>
  <si>
    <t xml:space="preserve">S-040</t>
  </si>
  <si>
    <t xml:space="preserve">S-041</t>
  </si>
  <si>
    <t xml:space="preserve">S-042</t>
  </si>
  <si>
    <t xml:space="preserve">S-043</t>
  </si>
  <si>
    <t xml:space="preserve">S-044</t>
  </si>
  <si>
    <t xml:space="preserve">S-045</t>
  </si>
  <si>
    <t xml:space="preserve">S-046</t>
  </si>
  <si>
    <t xml:space="preserve">S-047</t>
  </si>
  <si>
    <t xml:space="preserve">S-048</t>
  </si>
  <si>
    <t xml:space="preserve">S-049</t>
  </si>
  <si>
    <t xml:space="preserve">S-050</t>
  </si>
  <si>
    <t xml:space="preserve">S-051</t>
  </si>
  <si>
    <t xml:space="preserve">S-052</t>
  </si>
  <si>
    <t xml:space="preserve">S-053</t>
  </si>
  <si>
    <t xml:space="preserve">S-054</t>
  </si>
  <si>
    <t xml:space="preserve">S-055</t>
  </si>
  <si>
    <t xml:space="preserve">S-056</t>
  </si>
  <si>
    <t xml:space="preserve">S-057</t>
  </si>
  <si>
    <t xml:space="preserve">S-058</t>
  </si>
  <si>
    <t xml:space="preserve">S-059</t>
  </si>
  <si>
    <t xml:space="preserve">S-060</t>
  </si>
  <si>
    <t xml:space="preserve">S-061</t>
  </si>
  <si>
    <t xml:space="preserve">S-062</t>
  </si>
  <si>
    <t xml:space="preserve">S-063</t>
  </si>
  <si>
    <t xml:space="preserve">S-064</t>
  </si>
  <si>
    <t xml:space="preserve">S-065</t>
  </si>
  <si>
    <t xml:space="preserve">S-066</t>
  </si>
  <si>
    <t xml:space="preserve">S-067</t>
  </si>
  <si>
    <t xml:space="preserve">S-068</t>
  </si>
  <si>
    <t xml:space="preserve">S-069</t>
  </si>
  <si>
    <t xml:space="preserve">S-070</t>
  </si>
  <si>
    <t xml:space="preserve">S-071</t>
  </si>
  <si>
    <t xml:space="preserve">S-072</t>
  </si>
  <si>
    <t xml:space="preserve">S-073</t>
  </si>
  <si>
    <t xml:space="preserve">S-074</t>
  </si>
  <si>
    <t xml:space="preserve">S-075</t>
  </si>
  <si>
    <t xml:space="preserve">S-076</t>
  </si>
  <si>
    <t xml:space="preserve">S-077</t>
  </si>
  <si>
    <t xml:space="preserve">S-078</t>
  </si>
  <si>
    <t xml:space="preserve">S-079</t>
  </si>
  <si>
    <t xml:space="preserve">S-080</t>
  </si>
  <si>
    <t xml:space="preserve">S-081</t>
  </si>
  <si>
    <t xml:space="preserve">S-082</t>
  </si>
  <si>
    <t xml:space="preserve">S-083</t>
  </si>
  <si>
    <t xml:space="preserve">S-084</t>
  </si>
  <si>
    <t xml:space="preserve">S-085</t>
  </si>
  <si>
    <t xml:space="preserve">S-086</t>
  </si>
  <si>
    <t xml:space="preserve">S-087</t>
  </si>
  <si>
    <t xml:space="preserve">S-088</t>
  </si>
  <si>
    <t xml:space="preserve">S-089</t>
  </si>
  <si>
    <t xml:space="preserve">S-090</t>
  </si>
  <si>
    <t xml:space="preserve">S-091</t>
  </si>
  <si>
    <t xml:space="preserve">S-092</t>
  </si>
  <si>
    <t xml:space="preserve">S-093</t>
  </si>
  <si>
    <t xml:space="preserve">S-094</t>
  </si>
  <si>
    <t xml:space="preserve">S-095</t>
  </si>
  <si>
    <t xml:space="preserve">S-096</t>
  </si>
  <si>
    <t xml:space="preserve">S-097</t>
  </si>
  <si>
    <t xml:space="preserve">S-098</t>
  </si>
  <si>
    <t xml:space="preserve">S-099</t>
  </si>
  <si>
    <t xml:space="preserve">S-100</t>
  </si>
  <si>
    <t xml:space="preserve">S-101</t>
  </si>
  <si>
    <t xml:space="preserve">S-102</t>
  </si>
  <si>
    <t xml:space="preserve">S-103</t>
  </si>
  <si>
    <t xml:space="preserve">S-104</t>
  </si>
  <si>
    <t xml:space="preserve">S-105</t>
  </si>
  <si>
    <t xml:space="preserve">S-106</t>
  </si>
  <si>
    <t xml:space="preserve">S-107</t>
  </si>
  <si>
    <t xml:space="preserve">S-108</t>
  </si>
  <si>
    <t xml:space="preserve">S-109</t>
  </si>
  <si>
    <t xml:space="preserve">S-110</t>
  </si>
  <si>
    <t xml:space="preserve">S-111</t>
  </si>
  <si>
    <t xml:space="preserve">S-112</t>
  </si>
  <si>
    <t xml:space="preserve">S-113</t>
  </si>
  <si>
    <t xml:space="preserve">S-114</t>
  </si>
  <si>
    <t xml:space="preserve">S-115</t>
  </si>
  <si>
    <t xml:space="preserve">S-116</t>
  </si>
  <si>
    <t xml:space="preserve">S-117</t>
  </si>
  <si>
    <t xml:space="preserve">S-118</t>
  </si>
  <si>
    <t xml:space="preserve">S-119</t>
  </si>
  <si>
    <t xml:space="preserve">S-120</t>
  </si>
  <si>
    <t xml:space="preserve">S-121</t>
  </si>
  <si>
    <t xml:space="preserve">S-122</t>
  </si>
  <si>
    <t xml:space="preserve">S-123</t>
  </si>
  <si>
    <t xml:space="preserve">S-124</t>
  </si>
  <si>
    <t xml:space="preserve">S-125</t>
  </si>
  <si>
    <t xml:space="preserve">S-126</t>
  </si>
  <si>
    <t xml:space="preserve">S-127</t>
  </si>
  <si>
    <t xml:space="preserve">S-128</t>
  </si>
  <si>
    <t xml:space="preserve">S-129</t>
  </si>
  <si>
    <t xml:space="preserve">S-130</t>
  </si>
  <si>
    <t xml:space="preserve">S-131</t>
  </si>
  <si>
    <t xml:space="preserve">S-132</t>
  </si>
  <si>
    <t xml:space="preserve">S-133</t>
  </si>
  <si>
    <t xml:space="preserve">S-134</t>
  </si>
  <si>
    <t xml:space="preserve">S-135</t>
  </si>
  <si>
    <t xml:space="preserve">S-136</t>
  </si>
  <si>
    <t xml:space="preserve">S-137</t>
  </si>
  <si>
    <t xml:space="preserve">S-138</t>
  </si>
  <si>
    <t xml:space="preserve">S-139</t>
  </si>
  <si>
    <t xml:space="preserve">S-140</t>
  </si>
  <si>
    <t xml:space="preserve">S-141</t>
  </si>
  <si>
    <t xml:space="preserve">S-142</t>
  </si>
  <si>
    <t xml:space="preserve">S-143</t>
  </si>
  <si>
    <t xml:space="preserve">S-144</t>
  </si>
  <si>
    <t xml:space="preserve">S-145</t>
  </si>
  <si>
    <t xml:space="preserve">S-146</t>
  </si>
  <si>
    <t xml:space="preserve">Diagnostic summary (updates from the Week tabs)</t>
  </si>
  <si>
    <t xml:space="preserve">Week</t>
  </si>
  <si>
    <t xml:space="preserve">Students</t>
  </si>
  <si>
    <t xml:space="preserve">ELA completed</t>
  </si>
  <si>
    <t xml:space="preserve">ELA %</t>
  </si>
  <si>
    <t xml:space="preserve">Math completed</t>
  </si>
  <si>
    <t xml:space="preserve">Math %</t>
  </si>
  <si>
    <t xml:space="preserve">Avg ELA score</t>
  </si>
  <si>
    <t xml:space="preserve">Avg Math score</t>
  </si>
  <si>
    <t xml:space="preserve">Total</t>
  </si>
  <si>
    <t xml:space="preserve">Placement vs. grade</t>
  </si>
  <si>
    <t xml:space="preserve">ELA students</t>
  </si>
  <si>
    <t xml:space="preserve">Math students</t>
  </si>
  <si>
    <t xml:space="preserve">On/above grade</t>
  </si>
  <si>
    <t xml:space="preserve">1 grade below</t>
  </si>
  <si>
    <t xml:space="preserve">2 grades below</t>
  </si>
  <si>
    <t xml:space="preserve">3+ grades below</t>
  </si>
  <si>
    <t xml:space="preserve">Group (Week 1)</t>
  </si>
  <si>
    <t xml:space="preserve">Group (Week 2)</t>
  </si>
  <si>
    <t xml:space="preserve">Group A</t>
  </si>
  <si>
    <t xml:space="preserve">Group B</t>
  </si>
  <si>
    <t xml:space="preserve">Group C</t>
  </si>
  <si>
    <t xml:space="preserve">Placement is the overall i-Ready placement level entered from the diagnostic report. Scores and placements here are invented for the demo.</t>
  </si>
  <si>
    <t xml:space="preserve">Students:</t>
  </si>
  <si>
    <t xml:space="preserve">Per group:</t>
  </si>
  <si>
    <t xml:space="preserve">Group</t>
  </si>
  <si>
    <t xml:space="preserve">ELA Status</t>
  </si>
  <si>
    <t xml:space="preserve">ELA Score</t>
  </si>
  <si>
    <t xml:space="preserve">ELA Placement</t>
  </si>
  <si>
    <t xml:space="preserve">ELA vs. Grade</t>
  </si>
  <si>
    <t xml:space="preserve">Math Status</t>
  </si>
  <si>
    <t xml:space="preserve">Math Score</t>
  </si>
  <si>
    <t xml:space="preserve">Math Placement</t>
  </si>
  <si>
    <t xml:space="preserve">Math vs. Grade</t>
  </si>
  <si>
    <t xml:space="preserve">Mon</t>
  </si>
  <si>
    <t xml:space="preserve">Tue</t>
  </si>
  <si>
    <t xml:space="preserve">Wed</t>
  </si>
  <si>
    <t xml:space="preserve">Notes</t>
  </si>
  <si>
    <t xml:space="preserve">Completed</t>
  </si>
  <si>
    <t xml:space="preserve">Grade 8</t>
  </si>
  <si>
    <t xml:space="preserve">Grade 6</t>
  </si>
  <si>
    <t xml:space="preserve">Completed All</t>
  </si>
  <si>
    <t xml:space="preserve">Present</t>
  </si>
  <si>
    <t xml:space="preserve">Grade 5</t>
  </si>
  <si>
    <t xml:space="preserve">Grade 2</t>
  </si>
  <si>
    <t xml:space="preserve">Absent</t>
  </si>
  <si>
    <t xml:space="preserve">Grade 7</t>
  </si>
  <si>
    <t xml:space="preserve">Grade 3</t>
  </si>
  <si>
    <t xml:space="preserve">Grade 4</t>
  </si>
  <si>
    <t xml:space="preserve">Grade 1</t>
  </si>
  <si>
    <t xml:space="preserve">Started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</si>
</sst>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555555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192F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A192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33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false" outlineLevel="0" collapsed="false">
      <c r="A3" s="4" t="s">
        <v>6</v>
      </c>
      <c r="B3" s="4" t="n">
        <v>8</v>
      </c>
      <c r="C3" s="4" t="s">
        <v>7</v>
      </c>
      <c r="D3" s="5" t="n">
        <f aca="false">IF(C3="Week 1",COUNTIF($C$3:C3,"Week 1"),"")</f>
        <v>1</v>
      </c>
      <c r="E3" s="5" t="str">
        <f aca="false">IF(C3="Week 2",COUNTIF($C$3:C3,"Week 2"),"")</f>
        <v/>
      </c>
    </row>
    <row r="4" customFormat="false" ht="15" hidden="false" customHeight="false" outlineLevel="0" collapsed="false">
      <c r="A4" s="4" t="s">
        <v>8</v>
      </c>
      <c r="B4" s="4" t="n">
        <v>5</v>
      </c>
      <c r="C4" s="4" t="s">
        <v>7</v>
      </c>
      <c r="D4" s="5" t="n">
        <f aca="false">IF(C4="Week 1",COUNTIF($C$3:C4,"Week 1"),"")</f>
        <v>2</v>
      </c>
      <c r="E4" s="5" t="str">
        <f aca="false">IF(C4="Week 2",COUNTIF($C$3:C4,"Week 2"),"")</f>
        <v/>
      </c>
    </row>
    <row r="5" customFormat="false" ht="15" hidden="false" customHeight="false" outlineLevel="0" collapsed="false">
      <c r="A5" s="4" t="s">
        <v>9</v>
      </c>
      <c r="B5" s="4" t="n">
        <v>8</v>
      </c>
      <c r="C5" s="4" t="s">
        <v>7</v>
      </c>
      <c r="D5" s="5" t="n">
        <f aca="false">IF(C5="Week 1",COUNTIF($C$3:C5,"Week 1"),"")</f>
        <v>3</v>
      </c>
      <c r="E5" s="5" t="str">
        <f aca="false">IF(C5="Week 2",COUNTIF($C$3:C5,"Week 2"),"")</f>
        <v/>
      </c>
    </row>
    <row r="6" customFormat="false" ht="15" hidden="false" customHeight="false" outlineLevel="0" collapsed="false">
      <c r="A6" s="4" t="s">
        <v>10</v>
      </c>
      <c r="B6" s="4" t="n">
        <v>5</v>
      </c>
      <c r="C6" s="4" t="s">
        <v>11</v>
      </c>
      <c r="D6" s="5" t="str">
        <f aca="false">IF(C6="Week 1",COUNTIF($C$3:C6,"Week 1"),"")</f>
        <v/>
      </c>
      <c r="E6" s="5" t="n">
        <f aca="false">IF(C6="Week 2",COUNTIF($C$3:C6,"Week 2"),"")</f>
        <v>1</v>
      </c>
    </row>
    <row r="7" customFormat="false" ht="15" hidden="false" customHeight="false" outlineLevel="0" collapsed="false">
      <c r="A7" s="4" t="s">
        <v>12</v>
      </c>
      <c r="B7" s="4" t="n">
        <v>5</v>
      </c>
      <c r="C7" s="4" t="s">
        <v>11</v>
      </c>
      <c r="D7" s="5" t="str">
        <f aca="false">IF(C7="Week 1",COUNTIF($C$3:C7,"Week 1"),"")</f>
        <v/>
      </c>
      <c r="E7" s="5" t="n">
        <f aca="false">IF(C7="Week 2",COUNTIF($C$3:C7,"Week 2"),"")</f>
        <v>2</v>
      </c>
    </row>
    <row r="8" customFormat="false" ht="15" hidden="false" customHeight="false" outlineLevel="0" collapsed="false">
      <c r="A8" s="4" t="s">
        <v>13</v>
      </c>
      <c r="B8" s="4" t="n">
        <v>5</v>
      </c>
      <c r="C8" s="4" t="s">
        <v>7</v>
      </c>
      <c r="D8" s="5" t="n">
        <f aca="false">IF(C8="Week 1",COUNTIF($C$3:C8,"Week 1"),"")</f>
        <v>4</v>
      </c>
      <c r="E8" s="5" t="str">
        <f aca="false">IF(C8="Week 2",COUNTIF($C$3:C8,"Week 2"),"")</f>
        <v/>
      </c>
    </row>
    <row r="9" customFormat="false" ht="15" hidden="false" customHeight="false" outlineLevel="0" collapsed="false">
      <c r="A9" s="4" t="s">
        <v>14</v>
      </c>
      <c r="B9" s="4" t="n">
        <v>5</v>
      </c>
      <c r="C9" s="4" t="s">
        <v>11</v>
      </c>
      <c r="D9" s="5" t="str">
        <f aca="false">IF(C9="Week 1",COUNTIF($C$3:C9,"Week 1"),"")</f>
        <v/>
      </c>
      <c r="E9" s="5" t="n">
        <f aca="false">IF(C9="Week 2",COUNTIF($C$3:C9,"Week 2"),"")</f>
        <v>3</v>
      </c>
    </row>
    <row r="10" customFormat="false" ht="15" hidden="false" customHeight="false" outlineLevel="0" collapsed="false">
      <c r="A10" s="4" t="s">
        <v>15</v>
      </c>
      <c r="B10" s="4" t="n">
        <v>8</v>
      </c>
      <c r="C10" s="4" t="s">
        <v>11</v>
      </c>
      <c r="D10" s="5" t="str">
        <f aca="false">IF(C10="Week 1",COUNTIF($C$3:C10,"Week 1"),"")</f>
        <v/>
      </c>
      <c r="E10" s="5" t="n">
        <f aca="false">IF(C10="Week 2",COUNTIF($C$3:C10,"Week 2"),"")</f>
        <v>4</v>
      </c>
    </row>
    <row r="11" customFormat="false" ht="15" hidden="false" customHeight="false" outlineLevel="0" collapsed="false">
      <c r="A11" s="4" t="s">
        <v>16</v>
      </c>
      <c r="B11" s="4" t="n">
        <v>5</v>
      </c>
      <c r="C11" s="4" t="s">
        <v>7</v>
      </c>
      <c r="D11" s="5" t="n">
        <f aca="false">IF(C11="Week 1",COUNTIF($C$3:C11,"Week 1"),"")</f>
        <v>5</v>
      </c>
      <c r="E11" s="5" t="str">
        <f aca="false">IF(C11="Week 2",COUNTIF($C$3:C11,"Week 2"),"")</f>
        <v/>
      </c>
    </row>
    <row r="12" customFormat="false" ht="15" hidden="false" customHeight="false" outlineLevel="0" collapsed="false">
      <c r="A12" s="4" t="s">
        <v>17</v>
      </c>
      <c r="B12" s="4" t="n">
        <v>5</v>
      </c>
      <c r="C12" s="4" t="s">
        <v>11</v>
      </c>
      <c r="D12" s="5" t="str">
        <f aca="false">IF(C12="Week 1",COUNTIF($C$3:C12,"Week 1"),"")</f>
        <v/>
      </c>
      <c r="E12" s="5" t="n">
        <f aca="false">IF(C12="Week 2",COUNTIF($C$3:C12,"Week 2"),"")</f>
        <v>5</v>
      </c>
    </row>
    <row r="13" customFormat="false" ht="15" hidden="false" customHeight="false" outlineLevel="0" collapsed="false">
      <c r="A13" s="4" t="s">
        <v>18</v>
      </c>
      <c r="B13" s="4" t="n">
        <v>5</v>
      </c>
      <c r="C13" s="4" t="s">
        <v>7</v>
      </c>
      <c r="D13" s="5" t="n">
        <f aca="false">IF(C13="Week 1",COUNTIF($C$3:C13,"Week 1"),"")</f>
        <v>6</v>
      </c>
      <c r="E13" s="5" t="str">
        <f aca="false">IF(C13="Week 2",COUNTIF($C$3:C13,"Week 2"),"")</f>
        <v/>
      </c>
    </row>
    <row r="14" customFormat="false" ht="15" hidden="false" customHeight="false" outlineLevel="0" collapsed="false">
      <c r="A14" s="4" t="s">
        <v>19</v>
      </c>
      <c r="B14" s="4" t="n">
        <v>8</v>
      </c>
      <c r="C14" s="4" t="s">
        <v>11</v>
      </c>
      <c r="D14" s="5" t="str">
        <f aca="false">IF(C14="Week 1",COUNTIF($C$3:C14,"Week 1"),"")</f>
        <v/>
      </c>
      <c r="E14" s="5" t="n">
        <f aca="false">IF(C14="Week 2",COUNTIF($C$3:C14,"Week 2"),"")</f>
        <v>6</v>
      </c>
    </row>
    <row r="15" customFormat="false" ht="15" hidden="false" customHeight="false" outlineLevel="0" collapsed="false">
      <c r="A15" s="4" t="s">
        <v>20</v>
      </c>
      <c r="B15" s="4" t="n">
        <v>5</v>
      </c>
      <c r="C15" s="4" t="s">
        <v>7</v>
      </c>
      <c r="D15" s="5" t="n">
        <f aca="false">IF(C15="Week 1",COUNTIF($C$3:C15,"Week 1"),"")</f>
        <v>7</v>
      </c>
      <c r="E15" s="5" t="str">
        <f aca="false">IF(C15="Week 2",COUNTIF($C$3:C15,"Week 2"),"")</f>
        <v/>
      </c>
    </row>
    <row r="16" customFormat="false" ht="15" hidden="false" customHeight="false" outlineLevel="0" collapsed="false">
      <c r="A16" s="4" t="s">
        <v>21</v>
      </c>
      <c r="B16" s="4" t="n">
        <v>8</v>
      </c>
      <c r="C16" s="4" t="s">
        <v>11</v>
      </c>
      <c r="D16" s="5" t="str">
        <f aca="false">IF(C16="Week 1",COUNTIF($C$3:C16,"Week 1"),"")</f>
        <v/>
      </c>
      <c r="E16" s="5" t="n">
        <f aca="false">IF(C16="Week 2",COUNTIF($C$3:C16,"Week 2"),"")</f>
        <v>7</v>
      </c>
    </row>
    <row r="17" customFormat="false" ht="15" hidden="false" customHeight="false" outlineLevel="0" collapsed="false">
      <c r="A17" s="4" t="s">
        <v>22</v>
      </c>
      <c r="B17" s="4" t="n">
        <v>8</v>
      </c>
      <c r="C17" s="4" t="s">
        <v>11</v>
      </c>
      <c r="D17" s="5" t="str">
        <f aca="false">IF(C17="Week 1",COUNTIF($C$3:C17,"Week 1"),"")</f>
        <v/>
      </c>
      <c r="E17" s="5" t="n">
        <f aca="false">IF(C17="Week 2",COUNTIF($C$3:C17,"Week 2"),"")</f>
        <v>8</v>
      </c>
    </row>
    <row r="18" customFormat="false" ht="15" hidden="false" customHeight="false" outlineLevel="0" collapsed="false">
      <c r="A18" s="4" t="s">
        <v>23</v>
      </c>
      <c r="B18" s="4" t="n">
        <v>8</v>
      </c>
      <c r="C18" s="4" t="s">
        <v>11</v>
      </c>
      <c r="D18" s="5" t="str">
        <f aca="false">IF(C18="Week 1",COUNTIF($C$3:C18,"Week 1"),"")</f>
        <v/>
      </c>
      <c r="E18" s="5" t="n">
        <f aca="false">IF(C18="Week 2",COUNTIF($C$3:C18,"Week 2"),"")</f>
        <v>9</v>
      </c>
    </row>
    <row r="19" customFormat="false" ht="15" hidden="false" customHeight="false" outlineLevel="0" collapsed="false">
      <c r="A19" s="4" t="s">
        <v>24</v>
      </c>
      <c r="B19" s="4" t="n">
        <v>5</v>
      </c>
      <c r="C19" s="4" t="s">
        <v>7</v>
      </c>
      <c r="D19" s="5" t="n">
        <f aca="false">IF(C19="Week 1",COUNTIF($C$3:C19,"Week 1"),"")</f>
        <v>8</v>
      </c>
      <c r="E19" s="5" t="str">
        <f aca="false">IF(C19="Week 2",COUNTIF($C$3:C19,"Week 2"),"")</f>
        <v/>
      </c>
    </row>
    <row r="20" customFormat="false" ht="15" hidden="false" customHeight="false" outlineLevel="0" collapsed="false">
      <c r="A20" s="4" t="s">
        <v>25</v>
      </c>
      <c r="B20" s="4" t="n">
        <v>8</v>
      </c>
      <c r="C20" s="4" t="s">
        <v>11</v>
      </c>
      <c r="D20" s="5" t="str">
        <f aca="false">IF(C20="Week 1",COUNTIF($C$3:C20,"Week 1"),"")</f>
        <v/>
      </c>
      <c r="E20" s="5" t="n">
        <f aca="false">IF(C20="Week 2",COUNTIF($C$3:C20,"Week 2"),"")</f>
        <v>10</v>
      </c>
    </row>
    <row r="21" customFormat="false" ht="15" hidden="false" customHeight="false" outlineLevel="0" collapsed="false">
      <c r="A21" s="4" t="s">
        <v>26</v>
      </c>
      <c r="B21" s="4" t="n">
        <v>5</v>
      </c>
      <c r="C21" s="4" t="s">
        <v>11</v>
      </c>
      <c r="D21" s="5" t="str">
        <f aca="false">IF(C21="Week 1",COUNTIF($C$3:C21,"Week 1"),"")</f>
        <v/>
      </c>
      <c r="E21" s="5" t="n">
        <f aca="false">IF(C21="Week 2",COUNTIF($C$3:C21,"Week 2"),"")</f>
        <v>11</v>
      </c>
    </row>
    <row r="22" customFormat="false" ht="15" hidden="false" customHeight="false" outlineLevel="0" collapsed="false">
      <c r="A22" s="4" t="s">
        <v>27</v>
      </c>
      <c r="B22" s="4" t="n">
        <v>5</v>
      </c>
      <c r="C22" s="4" t="s">
        <v>11</v>
      </c>
      <c r="D22" s="5" t="str">
        <f aca="false">IF(C22="Week 1",COUNTIF($C$3:C22,"Week 1"),"")</f>
        <v/>
      </c>
      <c r="E22" s="5" t="n">
        <f aca="false">IF(C22="Week 2",COUNTIF($C$3:C22,"Week 2"),"")</f>
        <v>12</v>
      </c>
    </row>
    <row r="23" customFormat="false" ht="15" hidden="false" customHeight="false" outlineLevel="0" collapsed="false">
      <c r="A23" s="4" t="s">
        <v>28</v>
      </c>
      <c r="B23" s="4" t="n">
        <v>5</v>
      </c>
      <c r="C23" s="4" t="s">
        <v>7</v>
      </c>
      <c r="D23" s="5" t="n">
        <f aca="false">IF(C23="Week 1",COUNTIF($C$3:C23,"Week 1"),"")</f>
        <v>9</v>
      </c>
      <c r="E23" s="5" t="str">
        <f aca="false">IF(C23="Week 2",COUNTIF($C$3:C23,"Week 2"),"")</f>
        <v/>
      </c>
    </row>
    <row r="24" customFormat="false" ht="15" hidden="false" customHeight="false" outlineLevel="0" collapsed="false">
      <c r="A24" s="4" t="s">
        <v>29</v>
      </c>
      <c r="B24" s="4" t="n">
        <v>5</v>
      </c>
      <c r="C24" s="4" t="s">
        <v>7</v>
      </c>
      <c r="D24" s="5" t="n">
        <f aca="false">IF(C24="Week 1",COUNTIF($C$3:C24,"Week 1"),"")</f>
        <v>10</v>
      </c>
      <c r="E24" s="5" t="str">
        <f aca="false">IF(C24="Week 2",COUNTIF($C$3:C24,"Week 2"),"")</f>
        <v/>
      </c>
    </row>
    <row r="25" customFormat="false" ht="15" hidden="false" customHeight="false" outlineLevel="0" collapsed="false">
      <c r="A25" s="4" t="s">
        <v>30</v>
      </c>
      <c r="B25" s="4" t="n">
        <v>8</v>
      </c>
      <c r="C25" s="4" t="s">
        <v>11</v>
      </c>
      <c r="D25" s="5" t="str">
        <f aca="false">IF(C25="Week 1",COUNTIF($C$3:C25,"Week 1"),"")</f>
        <v/>
      </c>
      <c r="E25" s="5" t="n">
        <f aca="false">IF(C25="Week 2",COUNTIF($C$3:C25,"Week 2"),"")</f>
        <v>13</v>
      </c>
    </row>
    <row r="26" customFormat="false" ht="15" hidden="false" customHeight="false" outlineLevel="0" collapsed="false">
      <c r="A26" s="4" t="s">
        <v>31</v>
      </c>
      <c r="B26" s="4" t="n">
        <v>5</v>
      </c>
      <c r="C26" s="4" t="s">
        <v>7</v>
      </c>
      <c r="D26" s="5" t="n">
        <f aca="false">IF(C26="Week 1",COUNTIF($C$3:C26,"Week 1"),"")</f>
        <v>11</v>
      </c>
      <c r="E26" s="5" t="str">
        <f aca="false">IF(C26="Week 2",COUNTIF($C$3:C26,"Week 2"),"")</f>
        <v/>
      </c>
    </row>
    <row r="27" customFormat="false" ht="15" hidden="false" customHeight="false" outlineLevel="0" collapsed="false">
      <c r="A27" s="4" t="s">
        <v>32</v>
      </c>
      <c r="B27" s="4" t="n">
        <v>5</v>
      </c>
      <c r="C27" s="4" t="s">
        <v>11</v>
      </c>
      <c r="D27" s="5" t="str">
        <f aca="false">IF(C27="Week 1",COUNTIF($C$3:C27,"Week 1"),"")</f>
        <v/>
      </c>
      <c r="E27" s="5" t="n">
        <f aca="false">IF(C27="Week 2",COUNTIF($C$3:C27,"Week 2"),"")</f>
        <v>14</v>
      </c>
    </row>
    <row r="28" customFormat="false" ht="15" hidden="false" customHeight="false" outlineLevel="0" collapsed="false">
      <c r="A28" s="4" t="s">
        <v>33</v>
      </c>
      <c r="B28" s="4" t="n">
        <v>8</v>
      </c>
      <c r="C28" s="4" t="s">
        <v>7</v>
      </c>
      <c r="D28" s="5" t="n">
        <f aca="false">IF(C28="Week 1",COUNTIF($C$3:C28,"Week 1"),"")</f>
        <v>12</v>
      </c>
      <c r="E28" s="5" t="str">
        <f aca="false">IF(C28="Week 2",COUNTIF($C$3:C28,"Week 2"),"")</f>
        <v/>
      </c>
    </row>
    <row r="29" customFormat="false" ht="15" hidden="false" customHeight="false" outlineLevel="0" collapsed="false">
      <c r="A29" s="4" t="s">
        <v>34</v>
      </c>
      <c r="B29" s="4" t="n">
        <v>5</v>
      </c>
      <c r="C29" s="4" t="s">
        <v>7</v>
      </c>
      <c r="D29" s="5" t="n">
        <f aca="false">IF(C29="Week 1",COUNTIF($C$3:C29,"Week 1"),"")</f>
        <v>13</v>
      </c>
      <c r="E29" s="5" t="str">
        <f aca="false">IF(C29="Week 2",COUNTIF($C$3:C29,"Week 2"),"")</f>
        <v/>
      </c>
    </row>
    <row r="30" customFormat="false" ht="15" hidden="false" customHeight="false" outlineLevel="0" collapsed="false">
      <c r="A30" s="4" t="s">
        <v>35</v>
      </c>
      <c r="B30" s="4" t="n">
        <v>8</v>
      </c>
      <c r="C30" s="4" t="s">
        <v>7</v>
      </c>
      <c r="D30" s="5" t="n">
        <f aca="false">IF(C30="Week 1",COUNTIF($C$3:C30,"Week 1"),"")</f>
        <v>14</v>
      </c>
      <c r="E30" s="5" t="str">
        <f aca="false">IF(C30="Week 2",COUNTIF($C$3:C30,"Week 2"),"")</f>
        <v/>
      </c>
    </row>
    <row r="31" customFormat="false" ht="15" hidden="false" customHeight="false" outlineLevel="0" collapsed="false">
      <c r="A31" s="4" t="s">
        <v>36</v>
      </c>
      <c r="B31" s="4" t="n">
        <v>8</v>
      </c>
      <c r="C31" s="4" t="s">
        <v>11</v>
      </c>
      <c r="D31" s="5" t="str">
        <f aca="false">IF(C31="Week 1",COUNTIF($C$3:C31,"Week 1"),"")</f>
        <v/>
      </c>
      <c r="E31" s="5" t="n">
        <f aca="false">IF(C31="Week 2",COUNTIF($C$3:C31,"Week 2"),"")</f>
        <v>15</v>
      </c>
    </row>
    <row r="32" customFormat="false" ht="15" hidden="false" customHeight="false" outlineLevel="0" collapsed="false">
      <c r="A32" s="4" t="s">
        <v>37</v>
      </c>
      <c r="B32" s="4" t="n">
        <v>8</v>
      </c>
      <c r="C32" s="4" t="s">
        <v>11</v>
      </c>
      <c r="D32" s="5" t="str">
        <f aca="false">IF(C32="Week 1",COUNTIF($C$3:C32,"Week 1"),"")</f>
        <v/>
      </c>
      <c r="E32" s="5" t="n">
        <f aca="false">IF(C32="Week 2",COUNTIF($C$3:C32,"Week 2"),"")</f>
        <v>16</v>
      </c>
    </row>
    <row r="33" customFormat="false" ht="15" hidden="false" customHeight="false" outlineLevel="0" collapsed="false">
      <c r="A33" s="4" t="s">
        <v>38</v>
      </c>
      <c r="B33" s="4" t="n">
        <v>5</v>
      </c>
      <c r="C33" s="4" t="s">
        <v>7</v>
      </c>
      <c r="D33" s="5" t="n">
        <f aca="false">IF(C33="Week 1",COUNTIF($C$3:C33,"Week 1"),"")</f>
        <v>15</v>
      </c>
      <c r="E33" s="5" t="str">
        <f aca="false">IF(C33="Week 2",COUNTIF($C$3:C33,"Week 2"),"")</f>
        <v/>
      </c>
    </row>
    <row r="34" customFormat="false" ht="15" hidden="false" customHeight="false" outlineLevel="0" collapsed="false">
      <c r="A34" s="4" t="s">
        <v>39</v>
      </c>
      <c r="B34" s="4" t="n">
        <v>8</v>
      </c>
      <c r="C34" s="4" t="s">
        <v>11</v>
      </c>
      <c r="D34" s="5" t="str">
        <f aca="false">IF(C34="Week 1",COUNTIF($C$3:C34,"Week 1"),"")</f>
        <v/>
      </c>
      <c r="E34" s="5" t="n">
        <f aca="false">IF(C34="Week 2",COUNTIF($C$3:C34,"Week 2"),"")</f>
        <v>17</v>
      </c>
    </row>
    <row r="35" customFormat="false" ht="15" hidden="false" customHeight="false" outlineLevel="0" collapsed="false">
      <c r="A35" s="4" t="s">
        <v>40</v>
      </c>
      <c r="B35" s="4" t="n">
        <v>5</v>
      </c>
      <c r="C35" s="4" t="s">
        <v>11</v>
      </c>
      <c r="D35" s="5" t="str">
        <f aca="false">IF(C35="Week 1",COUNTIF($C$3:C35,"Week 1"),"")</f>
        <v/>
      </c>
      <c r="E35" s="5" t="n">
        <f aca="false">IF(C35="Week 2",COUNTIF($C$3:C35,"Week 2"),"")</f>
        <v>18</v>
      </c>
    </row>
    <row r="36" customFormat="false" ht="15" hidden="false" customHeight="false" outlineLevel="0" collapsed="false">
      <c r="A36" s="4" t="s">
        <v>41</v>
      </c>
      <c r="B36" s="4" t="n">
        <v>5</v>
      </c>
      <c r="C36" s="4" t="s">
        <v>7</v>
      </c>
      <c r="D36" s="5" t="n">
        <f aca="false">IF(C36="Week 1",COUNTIF($C$3:C36,"Week 1"),"")</f>
        <v>16</v>
      </c>
      <c r="E36" s="5" t="str">
        <f aca="false">IF(C36="Week 2",COUNTIF($C$3:C36,"Week 2"),"")</f>
        <v/>
      </c>
    </row>
    <row r="37" customFormat="false" ht="15" hidden="false" customHeight="false" outlineLevel="0" collapsed="false">
      <c r="A37" s="4" t="s">
        <v>42</v>
      </c>
      <c r="B37" s="4" t="n">
        <v>5</v>
      </c>
      <c r="C37" s="4" t="s">
        <v>7</v>
      </c>
      <c r="D37" s="5" t="n">
        <f aca="false">IF(C37="Week 1",COUNTIF($C$3:C37,"Week 1"),"")</f>
        <v>17</v>
      </c>
      <c r="E37" s="5" t="str">
        <f aca="false">IF(C37="Week 2",COUNTIF($C$3:C37,"Week 2"),"")</f>
        <v/>
      </c>
    </row>
    <row r="38" customFormat="false" ht="15" hidden="false" customHeight="false" outlineLevel="0" collapsed="false">
      <c r="A38" s="4" t="s">
        <v>43</v>
      </c>
      <c r="B38" s="4" t="n">
        <v>5</v>
      </c>
      <c r="C38" s="4" t="s">
        <v>11</v>
      </c>
      <c r="D38" s="5" t="str">
        <f aca="false">IF(C38="Week 1",COUNTIF($C$3:C38,"Week 1"),"")</f>
        <v/>
      </c>
      <c r="E38" s="5" t="n">
        <f aca="false">IF(C38="Week 2",COUNTIF($C$3:C38,"Week 2"),"")</f>
        <v>19</v>
      </c>
    </row>
    <row r="39" customFormat="false" ht="15" hidden="false" customHeight="false" outlineLevel="0" collapsed="false">
      <c r="A39" s="4" t="s">
        <v>44</v>
      </c>
      <c r="B39" s="4" t="n">
        <v>8</v>
      </c>
      <c r="C39" s="4" t="s">
        <v>11</v>
      </c>
      <c r="D39" s="5" t="str">
        <f aca="false">IF(C39="Week 1",COUNTIF($C$3:C39,"Week 1"),"")</f>
        <v/>
      </c>
      <c r="E39" s="5" t="n">
        <f aca="false">IF(C39="Week 2",COUNTIF($C$3:C39,"Week 2"),"")</f>
        <v>20</v>
      </c>
    </row>
    <row r="40" customFormat="false" ht="15" hidden="false" customHeight="false" outlineLevel="0" collapsed="false">
      <c r="A40" s="4" t="s">
        <v>45</v>
      </c>
      <c r="B40" s="4" t="n">
        <v>8</v>
      </c>
      <c r="C40" s="4" t="s">
        <v>11</v>
      </c>
      <c r="D40" s="5" t="str">
        <f aca="false">IF(C40="Week 1",COUNTIF($C$3:C40,"Week 1"),"")</f>
        <v/>
      </c>
      <c r="E40" s="5" t="n">
        <f aca="false">IF(C40="Week 2",COUNTIF($C$3:C40,"Week 2"),"")</f>
        <v>21</v>
      </c>
    </row>
    <row r="41" customFormat="false" ht="15" hidden="false" customHeight="false" outlineLevel="0" collapsed="false">
      <c r="A41" s="4" t="s">
        <v>46</v>
      </c>
      <c r="B41" s="4" t="n">
        <v>8</v>
      </c>
      <c r="C41" s="4" t="s">
        <v>7</v>
      </c>
      <c r="D41" s="5" t="n">
        <f aca="false">IF(C41="Week 1",COUNTIF($C$3:C41,"Week 1"),"")</f>
        <v>18</v>
      </c>
      <c r="E41" s="5" t="str">
        <f aca="false">IF(C41="Week 2",COUNTIF($C$3:C41,"Week 2"),"")</f>
        <v/>
      </c>
    </row>
    <row r="42" customFormat="false" ht="15" hidden="false" customHeight="false" outlineLevel="0" collapsed="false">
      <c r="A42" s="4" t="s">
        <v>47</v>
      </c>
      <c r="B42" s="4" t="n">
        <v>8</v>
      </c>
      <c r="C42" s="4" t="s">
        <v>11</v>
      </c>
      <c r="D42" s="5" t="str">
        <f aca="false">IF(C42="Week 1",COUNTIF($C$3:C42,"Week 1"),"")</f>
        <v/>
      </c>
      <c r="E42" s="5" t="n">
        <f aca="false">IF(C42="Week 2",COUNTIF($C$3:C42,"Week 2"),"")</f>
        <v>22</v>
      </c>
    </row>
    <row r="43" customFormat="false" ht="15" hidden="false" customHeight="false" outlineLevel="0" collapsed="false">
      <c r="A43" s="4" t="s">
        <v>48</v>
      </c>
      <c r="B43" s="4" t="n">
        <v>5</v>
      </c>
      <c r="C43" s="4" t="s">
        <v>11</v>
      </c>
      <c r="D43" s="5" t="str">
        <f aca="false">IF(C43="Week 1",COUNTIF($C$3:C43,"Week 1"),"")</f>
        <v/>
      </c>
      <c r="E43" s="5" t="n">
        <f aca="false">IF(C43="Week 2",COUNTIF($C$3:C43,"Week 2"),"")</f>
        <v>23</v>
      </c>
    </row>
    <row r="44" customFormat="false" ht="15" hidden="false" customHeight="false" outlineLevel="0" collapsed="false">
      <c r="A44" s="4" t="s">
        <v>49</v>
      </c>
      <c r="B44" s="4" t="n">
        <v>5</v>
      </c>
      <c r="C44" s="4" t="s">
        <v>7</v>
      </c>
      <c r="D44" s="5" t="n">
        <f aca="false">IF(C44="Week 1",COUNTIF($C$3:C44,"Week 1"),"")</f>
        <v>19</v>
      </c>
      <c r="E44" s="5" t="str">
        <f aca="false">IF(C44="Week 2",COUNTIF($C$3:C44,"Week 2"),"")</f>
        <v/>
      </c>
    </row>
    <row r="45" customFormat="false" ht="15" hidden="false" customHeight="false" outlineLevel="0" collapsed="false">
      <c r="A45" s="4" t="s">
        <v>50</v>
      </c>
      <c r="B45" s="4" t="n">
        <v>5</v>
      </c>
      <c r="C45" s="4" t="s">
        <v>7</v>
      </c>
      <c r="D45" s="5" t="n">
        <f aca="false">IF(C45="Week 1",COUNTIF($C$3:C45,"Week 1"),"")</f>
        <v>20</v>
      </c>
      <c r="E45" s="5" t="str">
        <f aca="false">IF(C45="Week 2",COUNTIF($C$3:C45,"Week 2"),"")</f>
        <v/>
      </c>
    </row>
    <row r="46" customFormat="false" ht="15" hidden="false" customHeight="false" outlineLevel="0" collapsed="false">
      <c r="A46" s="4" t="s">
        <v>51</v>
      </c>
      <c r="B46" s="4" t="n">
        <v>5</v>
      </c>
      <c r="C46" s="4" t="s">
        <v>7</v>
      </c>
      <c r="D46" s="5" t="n">
        <f aca="false">IF(C46="Week 1",COUNTIF($C$3:C46,"Week 1"),"")</f>
        <v>21</v>
      </c>
      <c r="E46" s="5" t="str">
        <f aca="false">IF(C46="Week 2",COUNTIF($C$3:C46,"Week 2"),"")</f>
        <v/>
      </c>
    </row>
    <row r="47" customFormat="false" ht="15" hidden="false" customHeight="false" outlineLevel="0" collapsed="false">
      <c r="A47" s="4" t="s">
        <v>52</v>
      </c>
      <c r="B47" s="4" t="n">
        <v>5</v>
      </c>
      <c r="C47" s="4" t="s">
        <v>11</v>
      </c>
      <c r="D47" s="5" t="str">
        <f aca="false">IF(C47="Week 1",COUNTIF($C$3:C47,"Week 1"),"")</f>
        <v/>
      </c>
      <c r="E47" s="5" t="n">
        <f aca="false">IF(C47="Week 2",COUNTIF($C$3:C47,"Week 2"),"")</f>
        <v>24</v>
      </c>
    </row>
    <row r="48" customFormat="false" ht="15" hidden="false" customHeight="false" outlineLevel="0" collapsed="false">
      <c r="A48" s="4" t="s">
        <v>53</v>
      </c>
      <c r="B48" s="4" t="n">
        <v>5</v>
      </c>
      <c r="C48" s="4" t="s">
        <v>7</v>
      </c>
      <c r="D48" s="5" t="n">
        <f aca="false">IF(C48="Week 1",COUNTIF($C$3:C48,"Week 1"),"")</f>
        <v>22</v>
      </c>
      <c r="E48" s="5" t="str">
        <f aca="false">IF(C48="Week 2",COUNTIF($C$3:C48,"Week 2"),"")</f>
        <v/>
      </c>
    </row>
    <row r="49" customFormat="false" ht="15" hidden="false" customHeight="false" outlineLevel="0" collapsed="false">
      <c r="A49" s="4" t="s">
        <v>54</v>
      </c>
      <c r="B49" s="4" t="n">
        <v>5</v>
      </c>
      <c r="C49" s="4" t="s">
        <v>7</v>
      </c>
      <c r="D49" s="5" t="n">
        <f aca="false">IF(C49="Week 1",COUNTIF($C$3:C49,"Week 1"),"")</f>
        <v>23</v>
      </c>
      <c r="E49" s="5" t="str">
        <f aca="false">IF(C49="Week 2",COUNTIF($C$3:C49,"Week 2"),"")</f>
        <v/>
      </c>
    </row>
    <row r="50" customFormat="false" ht="15" hidden="false" customHeight="false" outlineLevel="0" collapsed="false">
      <c r="A50" s="4" t="s">
        <v>55</v>
      </c>
      <c r="B50" s="4" t="n">
        <v>8</v>
      </c>
      <c r="C50" s="4" t="s">
        <v>11</v>
      </c>
      <c r="D50" s="5" t="str">
        <f aca="false">IF(C50="Week 1",COUNTIF($C$3:C50,"Week 1"),"")</f>
        <v/>
      </c>
      <c r="E50" s="5" t="n">
        <f aca="false">IF(C50="Week 2",COUNTIF($C$3:C50,"Week 2"),"")</f>
        <v>25</v>
      </c>
    </row>
    <row r="51" customFormat="false" ht="15" hidden="false" customHeight="false" outlineLevel="0" collapsed="false">
      <c r="A51" s="4" t="s">
        <v>56</v>
      </c>
      <c r="B51" s="4" t="n">
        <v>8</v>
      </c>
      <c r="C51" s="4" t="s">
        <v>11</v>
      </c>
      <c r="D51" s="5" t="str">
        <f aca="false">IF(C51="Week 1",COUNTIF($C$3:C51,"Week 1"),"")</f>
        <v/>
      </c>
      <c r="E51" s="5" t="n">
        <f aca="false">IF(C51="Week 2",COUNTIF($C$3:C51,"Week 2"),"")</f>
        <v>26</v>
      </c>
    </row>
    <row r="52" customFormat="false" ht="15" hidden="false" customHeight="false" outlineLevel="0" collapsed="false">
      <c r="A52" s="4" t="s">
        <v>57</v>
      </c>
      <c r="B52" s="4" t="n">
        <v>5</v>
      </c>
      <c r="C52" s="4" t="s">
        <v>11</v>
      </c>
      <c r="D52" s="5" t="str">
        <f aca="false">IF(C52="Week 1",COUNTIF($C$3:C52,"Week 1"),"")</f>
        <v/>
      </c>
      <c r="E52" s="5" t="n">
        <f aca="false">IF(C52="Week 2",COUNTIF($C$3:C52,"Week 2"),"")</f>
        <v>27</v>
      </c>
    </row>
    <row r="53" customFormat="false" ht="15" hidden="false" customHeight="false" outlineLevel="0" collapsed="false">
      <c r="A53" s="4" t="s">
        <v>58</v>
      </c>
      <c r="B53" s="4" t="n">
        <v>5</v>
      </c>
      <c r="C53" s="4" t="s">
        <v>7</v>
      </c>
      <c r="D53" s="5" t="n">
        <f aca="false">IF(C53="Week 1",COUNTIF($C$3:C53,"Week 1"),"")</f>
        <v>24</v>
      </c>
      <c r="E53" s="5" t="str">
        <f aca="false">IF(C53="Week 2",COUNTIF($C$3:C53,"Week 2"),"")</f>
        <v/>
      </c>
    </row>
    <row r="54" customFormat="false" ht="15" hidden="false" customHeight="false" outlineLevel="0" collapsed="false">
      <c r="A54" s="4" t="s">
        <v>59</v>
      </c>
      <c r="B54" s="4" t="n">
        <v>5</v>
      </c>
      <c r="C54" s="4" t="s">
        <v>11</v>
      </c>
      <c r="D54" s="5" t="str">
        <f aca="false">IF(C54="Week 1",COUNTIF($C$3:C54,"Week 1"),"")</f>
        <v/>
      </c>
      <c r="E54" s="5" t="n">
        <f aca="false">IF(C54="Week 2",COUNTIF($C$3:C54,"Week 2"),"")</f>
        <v>28</v>
      </c>
    </row>
    <row r="55" customFormat="false" ht="15" hidden="false" customHeight="false" outlineLevel="0" collapsed="false">
      <c r="A55" s="4" t="s">
        <v>60</v>
      </c>
      <c r="B55" s="4" t="n">
        <v>5</v>
      </c>
      <c r="C55" s="4" t="s">
        <v>11</v>
      </c>
      <c r="D55" s="5" t="str">
        <f aca="false">IF(C55="Week 1",COUNTIF($C$3:C55,"Week 1"),"")</f>
        <v/>
      </c>
      <c r="E55" s="5" t="n">
        <f aca="false">IF(C55="Week 2",COUNTIF($C$3:C55,"Week 2"),"")</f>
        <v>29</v>
      </c>
    </row>
    <row r="56" customFormat="false" ht="15" hidden="false" customHeight="false" outlineLevel="0" collapsed="false">
      <c r="A56" s="4" t="s">
        <v>61</v>
      </c>
      <c r="B56" s="4" t="n">
        <v>5</v>
      </c>
      <c r="C56" s="4" t="s">
        <v>7</v>
      </c>
      <c r="D56" s="5" t="n">
        <f aca="false">IF(C56="Week 1",COUNTIF($C$3:C56,"Week 1"),"")</f>
        <v>25</v>
      </c>
      <c r="E56" s="5" t="str">
        <f aca="false">IF(C56="Week 2",COUNTIF($C$3:C56,"Week 2"),"")</f>
        <v/>
      </c>
    </row>
    <row r="57" customFormat="false" ht="15" hidden="false" customHeight="false" outlineLevel="0" collapsed="false">
      <c r="A57" s="4" t="s">
        <v>62</v>
      </c>
      <c r="B57" s="4" t="n">
        <v>5</v>
      </c>
      <c r="C57" s="4" t="s">
        <v>7</v>
      </c>
      <c r="D57" s="5" t="n">
        <f aca="false">IF(C57="Week 1",COUNTIF($C$3:C57,"Week 1"),"")</f>
        <v>26</v>
      </c>
      <c r="E57" s="5" t="str">
        <f aca="false">IF(C57="Week 2",COUNTIF($C$3:C57,"Week 2"),"")</f>
        <v/>
      </c>
    </row>
    <row r="58" customFormat="false" ht="15" hidden="false" customHeight="false" outlineLevel="0" collapsed="false">
      <c r="A58" s="4" t="s">
        <v>63</v>
      </c>
      <c r="B58" s="4" t="n">
        <v>8</v>
      </c>
      <c r="C58" s="4" t="s">
        <v>7</v>
      </c>
      <c r="D58" s="5" t="n">
        <f aca="false">IF(C58="Week 1",COUNTIF($C$3:C58,"Week 1"),"")</f>
        <v>27</v>
      </c>
      <c r="E58" s="5" t="str">
        <f aca="false">IF(C58="Week 2",COUNTIF($C$3:C58,"Week 2"),"")</f>
        <v/>
      </c>
    </row>
    <row r="59" customFormat="false" ht="15" hidden="false" customHeight="false" outlineLevel="0" collapsed="false">
      <c r="A59" s="4" t="s">
        <v>64</v>
      </c>
      <c r="B59" s="4" t="n">
        <v>8</v>
      </c>
      <c r="C59" s="4" t="s">
        <v>7</v>
      </c>
      <c r="D59" s="5" t="n">
        <f aca="false">IF(C59="Week 1",COUNTIF($C$3:C59,"Week 1"),"")</f>
        <v>28</v>
      </c>
      <c r="E59" s="5" t="str">
        <f aca="false">IF(C59="Week 2",COUNTIF($C$3:C59,"Week 2"),"")</f>
        <v/>
      </c>
    </row>
    <row r="60" customFormat="false" ht="15" hidden="false" customHeight="false" outlineLevel="0" collapsed="false">
      <c r="A60" s="4" t="s">
        <v>65</v>
      </c>
      <c r="B60" s="4" t="n">
        <v>5</v>
      </c>
      <c r="C60" s="4" t="s">
        <v>11</v>
      </c>
      <c r="D60" s="5" t="str">
        <f aca="false">IF(C60="Week 1",COUNTIF($C$3:C60,"Week 1"),"")</f>
        <v/>
      </c>
      <c r="E60" s="5" t="n">
        <f aca="false">IF(C60="Week 2",COUNTIF($C$3:C60,"Week 2"),"")</f>
        <v>30</v>
      </c>
    </row>
    <row r="61" customFormat="false" ht="15" hidden="false" customHeight="false" outlineLevel="0" collapsed="false">
      <c r="A61" s="4" t="s">
        <v>66</v>
      </c>
      <c r="B61" s="4" t="n">
        <v>5</v>
      </c>
      <c r="C61" s="4" t="s">
        <v>11</v>
      </c>
      <c r="D61" s="5" t="str">
        <f aca="false">IF(C61="Week 1",COUNTIF($C$3:C61,"Week 1"),"")</f>
        <v/>
      </c>
      <c r="E61" s="5" t="n">
        <f aca="false">IF(C61="Week 2",COUNTIF($C$3:C61,"Week 2"),"")</f>
        <v>31</v>
      </c>
    </row>
    <row r="62" customFormat="false" ht="15" hidden="false" customHeight="false" outlineLevel="0" collapsed="false">
      <c r="A62" s="4" t="s">
        <v>67</v>
      </c>
      <c r="B62" s="4" t="n">
        <v>5</v>
      </c>
      <c r="C62" s="4" t="s">
        <v>11</v>
      </c>
      <c r="D62" s="5" t="str">
        <f aca="false">IF(C62="Week 1",COUNTIF($C$3:C62,"Week 1"),"")</f>
        <v/>
      </c>
      <c r="E62" s="5" t="n">
        <f aca="false">IF(C62="Week 2",COUNTIF($C$3:C62,"Week 2"),"")</f>
        <v>32</v>
      </c>
    </row>
    <row r="63" customFormat="false" ht="15" hidden="false" customHeight="false" outlineLevel="0" collapsed="false">
      <c r="A63" s="4" t="s">
        <v>68</v>
      </c>
      <c r="B63" s="4" t="n">
        <v>5</v>
      </c>
      <c r="C63" s="4" t="s">
        <v>11</v>
      </c>
      <c r="D63" s="5" t="str">
        <f aca="false">IF(C63="Week 1",COUNTIF($C$3:C63,"Week 1"),"")</f>
        <v/>
      </c>
      <c r="E63" s="5" t="n">
        <f aca="false">IF(C63="Week 2",COUNTIF($C$3:C63,"Week 2"),"")</f>
        <v>33</v>
      </c>
    </row>
    <row r="64" customFormat="false" ht="15" hidden="false" customHeight="false" outlineLevel="0" collapsed="false">
      <c r="A64" s="4" t="s">
        <v>69</v>
      </c>
      <c r="B64" s="4" t="n">
        <v>8</v>
      </c>
      <c r="C64" s="4" t="s">
        <v>7</v>
      </c>
      <c r="D64" s="5" t="n">
        <f aca="false">IF(C64="Week 1",COUNTIF($C$3:C64,"Week 1"),"")</f>
        <v>29</v>
      </c>
      <c r="E64" s="5" t="str">
        <f aca="false">IF(C64="Week 2",COUNTIF($C$3:C64,"Week 2"),"")</f>
        <v/>
      </c>
    </row>
    <row r="65" customFormat="false" ht="15" hidden="false" customHeight="false" outlineLevel="0" collapsed="false">
      <c r="A65" s="4" t="s">
        <v>70</v>
      </c>
      <c r="B65" s="4" t="n">
        <v>5</v>
      </c>
      <c r="C65" s="4" t="s">
        <v>11</v>
      </c>
      <c r="D65" s="5" t="str">
        <f aca="false">IF(C65="Week 1",COUNTIF($C$3:C65,"Week 1"),"")</f>
        <v/>
      </c>
      <c r="E65" s="5" t="n">
        <f aca="false">IF(C65="Week 2",COUNTIF($C$3:C65,"Week 2"),"")</f>
        <v>34</v>
      </c>
    </row>
    <row r="66" customFormat="false" ht="15" hidden="false" customHeight="false" outlineLevel="0" collapsed="false">
      <c r="A66" s="4" t="s">
        <v>71</v>
      </c>
      <c r="B66" s="4" t="n">
        <v>8</v>
      </c>
      <c r="C66" s="4" t="s">
        <v>7</v>
      </c>
      <c r="D66" s="5" t="n">
        <f aca="false">IF(C66="Week 1",COUNTIF($C$3:C66,"Week 1"),"")</f>
        <v>30</v>
      </c>
      <c r="E66" s="5" t="str">
        <f aca="false">IF(C66="Week 2",COUNTIF($C$3:C66,"Week 2"),"")</f>
        <v/>
      </c>
    </row>
    <row r="67" customFormat="false" ht="15" hidden="false" customHeight="false" outlineLevel="0" collapsed="false">
      <c r="A67" s="4" t="s">
        <v>72</v>
      </c>
      <c r="B67" s="4" t="n">
        <v>8</v>
      </c>
      <c r="C67" s="4" t="s">
        <v>7</v>
      </c>
      <c r="D67" s="5" t="n">
        <f aca="false">IF(C67="Week 1",COUNTIF($C$3:C67,"Week 1"),"")</f>
        <v>31</v>
      </c>
      <c r="E67" s="5" t="str">
        <f aca="false">IF(C67="Week 2",COUNTIF($C$3:C67,"Week 2"),"")</f>
        <v/>
      </c>
    </row>
    <row r="68" customFormat="false" ht="15" hidden="false" customHeight="false" outlineLevel="0" collapsed="false">
      <c r="A68" s="4" t="s">
        <v>73</v>
      </c>
      <c r="B68" s="4" t="n">
        <v>5</v>
      </c>
      <c r="C68" s="4" t="s">
        <v>7</v>
      </c>
      <c r="D68" s="5" t="n">
        <f aca="false">IF(C68="Week 1",COUNTIF($C$3:C68,"Week 1"),"")</f>
        <v>32</v>
      </c>
      <c r="E68" s="5" t="str">
        <f aca="false">IF(C68="Week 2",COUNTIF($C$3:C68,"Week 2"),"")</f>
        <v/>
      </c>
    </row>
    <row r="69" customFormat="false" ht="15" hidden="false" customHeight="false" outlineLevel="0" collapsed="false">
      <c r="A69" s="4" t="s">
        <v>74</v>
      </c>
      <c r="B69" s="4" t="n">
        <v>8</v>
      </c>
      <c r="C69" s="4" t="s">
        <v>7</v>
      </c>
      <c r="D69" s="5" t="n">
        <f aca="false">IF(C69="Week 1",COUNTIF($C$3:C69,"Week 1"),"")</f>
        <v>33</v>
      </c>
      <c r="E69" s="5" t="str">
        <f aca="false">IF(C69="Week 2",COUNTIF($C$3:C69,"Week 2"),"")</f>
        <v/>
      </c>
    </row>
    <row r="70" customFormat="false" ht="15" hidden="false" customHeight="false" outlineLevel="0" collapsed="false">
      <c r="A70" s="4" t="s">
        <v>75</v>
      </c>
      <c r="B70" s="4" t="n">
        <v>5</v>
      </c>
      <c r="C70" s="4" t="s">
        <v>7</v>
      </c>
      <c r="D70" s="5" t="n">
        <f aca="false">IF(C70="Week 1",COUNTIF($C$3:C70,"Week 1"),"")</f>
        <v>34</v>
      </c>
      <c r="E70" s="5" t="str">
        <f aca="false">IF(C70="Week 2",COUNTIF($C$3:C70,"Week 2"),"")</f>
        <v/>
      </c>
    </row>
    <row r="71" customFormat="false" ht="15" hidden="false" customHeight="false" outlineLevel="0" collapsed="false">
      <c r="A71" s="4" t="s">
        <v>76</v>
      </c>
      <c r="B71" s="4" t="n">
        <v>5</v>
      </c>
      <c r="C71" s="4" t="s">
        <v>11</v>
      </c>
      <c r="D71" s="5" t="str">
        <f aca="false">IF(C71="Week 1",COUNTIF($C$3:C71,"Week 1"),"")</f>
        <v/>
      </c>
      <c r="E71" s="5" t="n">
        <f aca="false">IF(C71="Week 2",COUNTIF($C$3:C71,"Week 2"),"")</f>
        <v>35</v>
      </c>
    </row>
    <row r="72" customFormat="false" ht="15" hidden="false" customHeight="false" outlineLevel="0" collapsed="false">
      <c r="A72" s="4" t="s">
        <v>77</v>
      </c>
      <c r="B72" s="4" t="n">
        <v>8</v>
      </c>
      <c r="C72" s="4" t="s">
        <v>7</v>
      </c>
      <c r="D72" s="5" t="n">
        <f aca="false">IF(C72="Week 1",COUNTIF($C$3:C72,"Week 1"),"")</f>
        <v>35</v>
      </c>
      <c r="E72" s="5" t="str">
        <f aca="false">IF(C72="Week 2",COUNTIF($C$3:C72,"Week 2"),"")</f>
        <v/>
      </c>
    </row>
    <row r="73" customFormat="false" ht="15" hidden="false" customHeight="false" outlineLevel="0" collapsed="false">
      <c r="A73" s="4" t="s">
        <v>78</v>
      </c>
      <c r="B73" s="4" t="n">
        <v>5</v>
      </c>
      <c r="C73" s="4" t="s">
        <v>7</v>
      </c>
      <c r="D73" s="5" t="n">
        <f aca="false">IF(C73="Week 1",COUNTIF($C$3:C73,"Week 1"),"")</f>
        <v>36</v>
      </c>
      <c r="E73" s="5" t="str">
        <f aca="false">IF(C73="Week 2",COUNTIF($C$3:C73,"Week 2"),"")</f>
        <v/>
      </c>
    </row>
    <row r="74" customFormat="false" ht="15" hidden="false" customHeight="false" outlineLevel="0" collapsed="false">
      <c r="A74" s="4" t="s">
        <v>79</v>
      </c>
      <c r="B74" s="4" t="n">
        <v>5</v>
      </c>
      <c r="C74" s="4" t="s">
        <v>7</v>
      </c>
      <c r="D74" s="5" t="n">
        <f aca="false">IF(C74="Week 1",COUNTIF($C$3:C74,"Week 1"),"")</f>
        <v>37</v>
      </c>
      <c r="E74" s="5" t="str">
        <f aca="false">IF(C74="Week 2",COUNTIF($C$3:C74,"Week 2"),"")</f>
        <v/>
      </c>
    </row>
    <row r="75" customFormat="false" ht="15" hidden="false" customHeight="false" outlineLevel="0" collapsed="false">
      <c r="A75" s="4" t="s">
        <v>80</v>
      </c>
      <c r="B75" s="4" t="n">
        <v>5</v>
      </c>
      <c r="C75" s="4" t="s">
        <v>11</v>
      </c>
      <c r="D75" s="5" t="str">
        <f aca="false">IF(C75="Week 1",COUNTIF($C$3:C75,"Week 1"),"")</f>
        <v/>
      </c>
      <c r="E75" s="5" t="n">
        <f aca="false">IF(C75="Week 2",COUNTIF($C$3:C75,"Week 2"),"")</f>
        <v>36</v>
      </c>
    </row>
    <row r="76" customFormat="false" ht="15" hidden="false" customHeight="false" outlineLevel="0" collapsed="false">
      <c r="A76" s="4" t="s">
        <v>81</v>
      </c>
      <c r="B76" s="4" t="n">
        <v>5</v>
      </c>
      <c r="C76" s="4" t="s">
        <v>7</v>
      </c>
      <c r="D76" s="5" t="n">
        <f aca="false">IF(C76="Week 1",COUNTIF($C$3:C76,"Week 1"),"")</f>
        <v>38</v>
      </c>
      <c r="E76" s="5" t="str">
        <f aca="false">IF(C76="Week 2",COUNTIF($C$3:C76,"Week 2"),"")</f>
        <v/>
      </c>
    </row>
    <row r="77" customFormat="false" ht="15" hidden="false" customHeight="false" outlineLevel="0" collapsed="false">
      <c r="A77" s="4" t="s">
        <v>82</v>
      </c>
      <c r="B77" s="4" t="n">
        <v>8</v>
      </c>
      <c r="C77" s="4" t="s">
        <v>7</v>
      </c>
      <c r="D77" s="5" t="n">
        <f aca="false">IF(C77="Week 1",COUNTIF($C$3:C77,"Week 1"),"")</f>
        <v>39</v>
      </c>
      <c r="E77" s="5" t="str">
        <f aca="false">IF(C77="Week 2",COUNTIF($C$3:C77,"Week 2"),"")</f>
        <v/>
      </c>
    </row>
    <row r="78" customFormat="false" ht="15" hidden="false" customHeight="false" outlineLevel="0" collapsed="false">
      <c r="A78" s="4" t="s">
        <v>83</v>
      </c>
      <c r="B78" s="4" t="n">
        <v>5</v>
      </c>
      <c r="C78" s="4" t="s">
        <v>7</v>
      </c>
      <c r="D78" s="5" t="n">
        <f aca="false">IF(C78="Week 1",COUNTIF($C$3:C78,"Week 1"),"")</f>
        <v>40</v>
      </c>
      <c r="E78" s="5" t="str">
        <f aca="false">IF(C78="Week 2",COUNTIF($C$3:C78,"Week 2"),"")</f>
        <v/>
      </c>
    </row>
    <row r="79" customFormat="false" ht="15" hidden="false" customHeight="false" outlineLevel="0" collapsed="false">
      <c r="A79" s="4" t="s">
        <v>84</v>
      </c>
      <c r="B79" s="4" t="n">
        <v>8</v>
      </c>
      <c r="C79" s="4" t="s">
        <v>7</v>
      </c>
      <c r="D79" s="5" t="n">
        <f aca="false">IF(C79="Week 1",COUNTIF($C$3:C79,"Week 1"),"")</f>
        <v>41</v>
      </c>
      <c r="E79" s="5" t="str">
        <f aca="false">IF(C79="Week 2",COUNTIF($C$3:C79,"Week 2"),"")</f>
        <v/>
      </c>
    </row>
    <row r="80" customFormat="false" ht="15" hidden="false" customHeight="false" outlineLevel="0" collapsed="false">
      <c r="A80" s="4" t="s">
        <v>85</v>
      </c>
      <c r="B80" s="4" t="n">
        <v>5</v>
      </c>
      <c r="C80" s="4" t="s">
        <v>11</v>
      </c>
      <c r="D80" s="5" t="str">
        <f aca="false">IF(C80="Week 1",COUNTIF($C$3:C80,"Week 1"),"")</f>
        <v/>
      </c>
      <c r="E80" s="5" t="n">
        <f aca="false">IF(C80="Week 2",COUNTIF($C$3:C80,"Week 2"),"")</f>
        <v>37</v>
      </c>
    </row>
    <row r="81" customFormat="false" ht="15" hidden="false" customHeight="false" outlineLevel="0" collapsed="false">
      <c r="A81" s="4" t="s">
        <v>86</v>
      </c>
      <c r="B81" s="4" t="n">
        <v>5</v>
      </c>
      <c r="C81" s="4" t="s">
        <v>7</v>
      </c>
      <c r="D81" s="5" t="n">
        <f aca="false">IF(C81="Week 1",COUNTIF($C$3:C81,"Week 1"),"")</f>
        <v>42</v>
      </c>
      <c r="E81" s="5" t="str">
        <f aca="false">IF(C81="Week 2",COUNTIF($C$3:C81,"Week 2"),"")</f>
        <v/>
      </c>
    </row>
    <row r="82" customFormat="false" ht="15" hidden="false" customHeight="false" outlineLevel="0" collapsed="false">
      <c r="A82" s="4" t="s">
        <v>87</v>
      </c>
      <c r="B82" s="4" t="n">
        <v>5</v>
      </c>
      <c r="C82" s="4" t="s">
        <v>11</v>
      </c>
      <c r="D82" s="5" t="str">
        <f aca="false">IF(C82="Week 1",COUNTIF($C$3:C82,"Week 1"),"")</f>
        <v/>
      </c>
      <c r="E82" s="5" t="n">
        <f aca="false">IF(C82="Week 2",COUNTIF($C$3:C82,"Week 2"),"")</f>
        <v>38</v>
      </c>
    </row>
    <row r="83" customFormat="false" ht="15" hidden="false" customHeight="false" outlineLevel="0" collapsed="false">
      <c r="A83" s="4" t="s">
        <v>88</v>
      </c>
      <c r="B83" s="4" t="n">
        <v>5</v>
      </c>
      <c r="C83" s="4" t="s">
        <v>7</v>
      </c>
      <c r="D83" s="5" t="n">
        <f aca="false">IF(C83="Week 1",COUNTIF($C$3:C83,"Week 1"),"")</f>
        <v>43</v>
      </c>
      <c r="E83" s="5" t="str">
        <f aca="false">IF(C83="Week 2",COUNTIF($C$3:C83,"Week 2"),"")</f>
        <v/>
      </c>
    </row>
    <row r="84" customFormat="false" ht="15" hidden="false" customHeight="false" outlineLevel="0" collapsed="false">
      <c r="A84" s="4" t="s">
        <v>89</v>
      </c>
      <c r="B84" s="4" t="n">
        <v>5</v>
      </c>
      <c r="C84" s="4" t="s">
        <v>11</v>
      </c>
      <c r="D84" s="5" t="str">
        <f aca="false">IF(C84="Week 1",COUNTIF($C$3:C84,"Week 1"),"")</f>
        <v/>
      </c>
      <c r="E84" s="5" t="n">
        <f aca="false">IF(C84="Week 2",COUNTIF($C$3:C84,"Week 2"),"")</f>
        <v>39</v>
      </c>
    </row>
    <row r="85" customFormat="false" ht="15" hidden="false" customHeight="false" outlineLevel="0" collapsed="false">
      <c r="A85" s="4" t="s">
        <v>90</v>
      </c>
      <c r="B85" s="4" t="n">
        <v>5</v>
      </c>
      <c r="C85" s="4" t="s">
        <v>11</v>
      </c>
      <c r="D85" s="5" t="str">
        <f aca="false">IF(C85="Week 1",COUNTIF($C$3:C85,"Week 1"),"")</f>
        <v/>
      </c>
      <c r="E85" s="5" t="n">
        <f aca="false">IF(C85="Week 2",COUNTIF($C$3:C85,"Week 2"),"")</f>
        <v>40</v>
      </c>
    </row>
    <row r="86" customFormat="false" ht="15" hidden="false" customHeight="false" outlineLevel="0" collapsed="false">
      <c r="A86" s="4" t="s">
        <v>91</v>
      </c>
      <c r="B86" s="4" t="n">
        <v>8</v>
      </c>
      <c r="C86" s="4" t="s">
        <v>7</v>
      </c>
      <c r="D86" s="5" t="n">
        <f aca="false">IF(C86="Week 1",COUNTIF($C$3:C86,"Week 1"),"")</f>
        <v>44</v>
      </c>
      <c r="E86" s="5" t="str">
        <f aca="false">IF(C86="Week 2",COUNTIF($C$3:C86,"Week 2"),"")</f>
        <v/>
      </c>
    </row>
    <row r="87" customFormat="false" ht="15" hidden="false" customHeight="false" outlineLevel="0" collapsed="false">
      <c r="A87" s="4" t="s">
        <v>92</v>
      </c>
      <c r="B87" s="4" t="n">
        <v>8</v>
      </c>
      <c r="C87" s="4" t="s">
        <v>7</v>
      </c>
      <c r="D87" s="5" t="n">
        <f aca="false">IF(C87="Week 1",COUNTIF($C$3:C87,"Week 1"),"")</f>
        <v>45</v>
      </c>
      <c r="E87" s="5" t="str">
        <f aca="false">IF(C87="Week 2",COUNTIF($C$3:C87,"Week 2"),"")</f>
        <v/>
      </c>
    </row>
    <row r="88" customFormat="false" ht="15" hidden="false" customHeight="false" outlineLevel="0" collapsed="false">
      <c r="A88" s="4" t="s">
        <v>93</v>
      </c>
      <c r="B88" s="4" t="n">
        <v>5</v>
      </c>
      <c r="C88" s="4" t="s">
        <v>7</v>
      </c>
      <c r="D88" s="5" t="n">
        <f aca="false">IF(C88="Week 1",COUNTIF($C$3:C88,"Week 1"),"")</f>
        <v>46</v>
      </c>
      <c r="E88" s="5" t="str">
        <f aca="false">IF(C88="Week 2",COUNTIF($C$3:C88,"Week 2"),"")</f>
        <v/>
      </c>
    </row>
    <row r="89" customFormat="false" ht="15" hidden="false" customHeight="false" outlineLevel="0" collapsed="false">
      <c r="A89" s="4" t="s">
        <v>94</v>
      </c>
      <c r="B89" s="4" t="n">
        <v>5</v>
      </c>
      <c r="C89" s="4" t="s">
        <v>11</v>
      </c>
      <c r="D89" s="5" t="str">
        <f aca="false">IF(C89="Week 1",COUNTIF($C$3:C89,"Week 1"),"")</f>
        <v/>
      </c>
      <c r="E89" s="5" t="n">
        <f aca="false">IF(C89="Week 2",COUNTIF($C$3:C89,"Week 2"),"")</f>
        <v>41</v>
      </c>
    </row>
    <row r="90" customFormat="false" ht="15" hidden="false" customHeight="false" outlineLevel="0" collapsed="false">
      <c r="A90" s="4" t="s">
        <v>95</v>
      </c>
      <c r="B90" s="4" t="n">
        <v>5</v>
      </c>
      <c r="C90" s="4" t="s">
        <v>11</v>
      </c>
      <c r="D90" s="5" t="str">
        <f aca="false">IF(C90="Week 1",COUNTIF($C$3:C90,"Week 1"),"")</f>
        <v/>
      </c>
      <c r="E90" s="5" t="n">
        <f aca="false">IF(C90="Week 2",COUNTIF($C$3:C90,"Week 2"),"")</f>
        <v>42</v>
      </c>
    </row>
    <row r="91" customFormat="false" ht="15" hidden="false" customHeight="false" outlineLevel="0" collapsed="false">
      <c r="A91" s="4" t="s">
        <v>96</v>
      </c>
      <c r="B91" s="4" t="n">
        <v>5</v>
      </c>
      <c r="C91" s="4" t="s">
        <v>11</v>
      </c>
      <c r="D91" s="5" t="str">
        <f aca="false">IF(C91="Week 1",COUNTIF($C$3:C91,"Week 1"),"")</f>
        <v/>
      </c>
      <c r="E91" s="5" t="n">
        <f aca="false">IF(C91="Week 2",COUNTIF($C$3:C91,"Week 2"),"")</f>
        <v>43</v>
      </c>
    </row>
    <row r="92" customFormat="false" ht="15" hidden="false" customHeight="false" outlineLevel="0" collapsed="false">
      <c r="A92" s="4" t="s">
        <v>97</v>
      </c>
      <c r="B92" s="4" t="n">
        <v>5</v>
      </c>
      <c r="C92" s="4" t="s">
        <v>7</v>
      </c>
      <c r="D92" s="5" t="n">
        <f aca="false">IF(C92="Week 1",COUNTIF($C$3:C92,"Week 1"),"")</f>
        <v>47</v>
      </c>
      <c r="E92" s="5" t="str">
        <f aca="false">IF(C92="Week 2",COUNTIF($C$3:C92,"Week 2"),"")</f>
        <v/>
      </c>
    </row>
    <row r="93" customFormat="false" ht="15" hidden="false" customHeight="false" outlineLevel="0" collapsed="false">
      <c r="A93" s="4" t="s">
        <v>98</v>
      </c>
      <c r="B93" s="4" t="n">
        <v>5</v>
      </c>
      <c r="C93" s="4" t="s">
        <v>11</v>
      </c>
      <c r="D93" s="5" t="str">
        <f aca="false">IF(C93="Week 1",COUNTIF($C$3:C93,"Week 1"),"")</f>
        <v/>
      </c>
      <c r="E93" s="5" t="n">
        <f aca="false">IF(C93="Week 2",COUNTIF($C$3:C93,"Week 2"),"")</f>
        <v>44</v>
      </c>
    </row>
    <row r="94" customFormat="false" ht="15" hidden="false" customHeight="false" outlineLevel="0" collapsed="false">
      <c r="A94" s="4" t="s">
        <v>99</v>
      </c>
      <c r="B94" s="4" t="n">
        <v>8</v>
      </c>
      <c r="C94" s="4" t="s">
        <v>11</v>
      </c>
      <c r="D94" s="5" t="str">
        <f aca="false">IF(C94="Week 1",COUNTIF($C$3:C94,"Week 1"),"")</f>
        <v/>
      </c>
      <c r="E94" s="5" t="n">
        <f aca="false">IF(C94="Week 2",COUNTIF($C$3:C94,"Week 2"),"")</f>
        <v>45</v>
      </c>
    </row>
    <row r="95" customFormat="false" ht="15" hidden="false" customHeight="false" outlineLevel="0" collapsed="false">
      <c r="A95" s="4" t="s">
        <v>100</v>
      </c>
      <c r="B95" s="4" t="n">
        <v>5</v>
      </c>
      <c r="C95" s="4" t="s">
        <v>7</v>
      </c>
      <c r="D95" s="5" t="n">
        <f aca="false">IF(C95="Week 1",COUNTIF($C$3:C95,"Week 1"),"")</f>
        <v>48</v>
      </c>
      <c r="E95" s="5" t="str">
        <f aca="false">IF(C95="Week 2",COUNTIF($C$3:C95,"Week 2"),"")</f>
        <v/>
      </c>
    </row>
    <row r="96" customFormat="false" ht="15" hidden="false" customHeight="false" outlineLevel="0" collapsed="false">
      <c r="A96" s="4" t="s">
        <v>101</v>
      </c>
      <c r="B96" s="4" t="n">
        <v>8</v>
      </c>
      <c r="C96" s="4" t="s">
        <v>11</v>
      </c>
      <c r="D96" s="5" t="str">
        <f aca="false">IF(C96="Week 1",COUNTIF($C$3:C96,"Week 1"),"")</f>
        <v/>
      </c>
      <c r="E96" s="5" t="n">
        <f aca="false">IF(C96="Week 2",COUNTIF($C$3:C96,"Week 2"),"")</f>
        <v>46</v>
      </c>
    </row>
    <row r="97" customFormat="false" ht="15" hidden="false" customHeight="false" outlineLevel="0" collapsed="false">
      <c r="A97" s="4" t="s">
        <v>102</v>
      </c>
      <c r="B97" s="4" t="n">
        <v>5</v>
      </c>
      <c r="C97" s="4" t="s">
        <v>11</v>
      </c>
      <c r="D97" s="5" t="str">
        <f aca="false">IF(C97="Week 1",COUNTIF($C$3:C97,"Week 1"),"")</f>
        <v/>
      </c>
      <c r="E97" s="5" t="n">
        <f aca="false">IF(C97="Week 2",COUNTIF($C$3:C97,"Week 2"),"")</f>
        <v>47</v>
      </c>
    </row>
    <row r="98" customFormat="false" ht="15" hidden="false" customHeight="false" outlineLevel="0" collapsed="false">
      <c r="A98" s="4" t="s">
        <v>103</v>
      </c>
      <c r="B98" s="4" t="n">
        <v>8</v>
      </c>
      <c r="C98" s="4" t="s">
        <v>7</v>
      </c>
      <c r="D98" s="5" t="n">
        <f aca="false">IF(C98="Week 1",COUNTIF($C$3:C98,"Week 1"),"")</f>
        <v>49</v>
      </c>
      <c r="E98" s="5" t="str">
        <f aca="false">IF(C98="Week 2",COUNTIF($C$3:C98,"Week 2"),"")</f>
        <v/>
      </c>
    </row>
    <row r="99" customFormat="false" ht="15" hidden="false" customHeight="false" outlineLevel="0" collapsed="false">
      <c r="A99" s="4" t="s">
        <v>104</v>
      </c>
      <c r="B99" s="4" t="n">
        <v>8</v>
      </c>
      <c r="C99" s="4" t="s">
        <v>7</v>
      </c>
      <c r="D99" s="5" t="n">
        <f aca="false">IF(C99="Week 1",COUNTIF($C$3:C99,"Week 1"),"")</f>
        <v>50</v>
      </c>
      <c r="E99" s="5" t="str">
        <f aca="false">IF(C99="Week 2",COUNTIF($C$3:C99,"Week 2"),"")</f>
        <v/>
      </c>
    </row>
    <row r="100" customFormat="false" ht="15" hidden="false" customHeight="false" outlineLevel="0" collapsed="false">
      <c r="A100" s="4" t="s">
        <v>105</v>
      </c>
      <c r="B100" s="4" t="n">
        <v>5</v>
      </c>
      <c r="C100" s="4" t="s">
        <v>7</v>
      </c>
      <c r="D100" s="5" t="n">
        <f aca="false">IF(C100="Week 1",COUNTIF($C$3:C100,"Week 1"),"")</f>
        <v>51</v>
      </c>
      <c r="E100" s="5" t="str">
        <f aca="false">IF(C100="Week 2",COUNTIF($C$3:C100,"Week 2"),"")</f>
        <v/>
      </c>
    </row>
    <row r="101" customFormat="false" ht="15" hidden="false" customHeight="false" outlineLevel="0" collapsed="false">
      <c r="A101" s="4" t="s">
        <v>106</v>
      </c>
      <c r="B101" s="4" t="n">
        <v>8</v>
      </c>
      <c r="C101" s="4" t="s">
        <v>11</v>
      </c>
      <c r="D101" s="5" t="str">
        <f aca="false">IF(C101="Week 1",COUNTIF($C$3:C101,"Week 1"),"")</f>
        <v/>
      </c>
      <c r="E101" s="5" t="n">
        <f aca="false">IF(C101="Week 2",COUNTIF($C$3:C101,"Week 2"),"")</f>
        <v>48</v>
      </c>
    </row>
    <row r="102" customFormat="false" ht="15" hidden="false" customHeight="false" outlineLevel="0" collapsed="false">
      <c r="A102" s="4" t="s">
        <v>107</v>
      </c>
      <c r="B102" s="4" t="n">
        <v>8</v>
      </c>
      <c r="C102" s="4" t="s">
        <v>7</v>
      </c>
      <c r="D102" s="5" t="n">
        <f aca="false">IF(C102="Week 1",COUNTIF($C$3:C102,"Week 1"),"")</f>
        <v>52</v>
      </c>
      <c r="E102" s="5" t="str">
        <f aca="false">IF(C102="Week 2",COUNTIF($C$3:C102,"Week 2"),"")</f>
        <v/>
      </c>
    </row>
    <row r="103" customFormat="false" ht="15" hidden="false" customHeight="false" outlineLevel="0" collapsed="false">
      <c r="A103" s="4" t="s">
        <v>108</v>
      </c>
      <c r="B103" s="4" t="n">
        <v>8</v>
      </c>
      <c r="C103" s="4" t="s">
        <v>11</v>
      </c>
      <c r="D103" s="5" t="str">
        <f aca="false">IF(C103="Week 1",COUNTIF($C$3:C103,"Week 1"),"")</f>
        <v/>
      </c>
      <c r="E103" s="5" t="n">
        <f aca="false">IF(C103="Week 2",COUNTIF($C$3:C103,"Week 2"),"")</f>
        <v>49</v>
      </c>
    </row>
    <row r="104" customFormat="false" ht="15" hidden="false" customHeight="false" outlineLevel="0" collapsed="false">
      <c r="A104" s="4" t="s">
        <v>109</v>
      </c>
      <c r="B104" s="4" t="n">
        <v>8</v>
      </c>
      <c r="C104" s="4" t="s">
        <v>11</v>
      </c>
      <c r="D104" s="5" t="str">
        <f aca="false">IF(C104="Week 1",COUNTIF($C$3:C104,"Week 1"),"")</f>
        <v/>
      </c>
      <c r="E104" s="5" t="n">
        <f aca="false">IF(C104="Week 2",COUNTIF($C$3:C104,"Week 2"),"")</f>
        <v>50</v>
      </c>
    </row>
    <row r="105" customFormat="false" ht="15" hidden="false" customHeight="false" outlineLevel="0" collapsed="false">
      <c r="A105" s="4" t="s">
        <v>110</v>
      </c>
      <c r="B105" s="4" t="n">
        <v>5</v>
      </c>
      <c r="C105" s="4" t="s">
        <v>7</v>
      </c>
      <c r="D105" s="5" t="n">
        <f aca="false">IF(C105="Week 1",COUNTIF($C$3:C105,"Week 1"),"")</f>
        <v>53</v>
      </c>
      <c r="E105" s="5" t="str">
        <f aca="false">IF(C105="Week 2",COUNTIF($C$3:C105,"Week 2"),"")</f>
        <v/>
      </c>
    </row>
    <row r="106" customFormat="false" ht="15" hidden="false" customHeight="false" outlineLevel="0" collapsed="false">
      <c r="A106" s="4" t="s">
        <v>111</v>
      </c>
      <c r="B106" s="4" t="n">
        <v>8</v>
      </c>
      <c r="C106" s="4" t="s">
        <v>7</v>
      </c>
      <c r="D106" s="5" t="n">
        <f aca="false">IF(C106="Week 1",COUNTIF($C$3:C106,"Week 1"),"")</f>
        <v>54</v>
      </c>
      <c r="E106" s="5" t="str">
        <f aca="false">IF(C106="Week 2",COUNTIF($C$3:C106,"Week 2"),"")</f>
        <v/>
      </c>
    </row>
    <row r="107" customFormat="false" ht="15" hidden="false" customHeight="false" outlineLevel="0" collapsed="false">
      <c r="A107" s="4" t="s">
        <v>112</v>
      </c>
      <c r="B107" s="4" t="n">
        <v>5</v>
      </c>
      <c r="C107" s="4" t="s">
        <v>7</v>
      </c>
      <c r="D107" s="5" t="n">
        <f aca="false">IF(C107="Week 1",COUNTIF($C$3:C107,"Week 1"),"")</f>
        <v>55</v>
      </c>
      <c r="E107" s="5" t="str">
        <f aca="false">IF(C107="Week 2",COUNTIF($C$3:C107,"Week 2"),"")</f>
        <v/>
      </c>
    </row>
    <row r="108" customFormat="false" ht="15" hidden="false" customHeight="false" outlineLevel="0" collapsed="false">
      <c r="A108" s="4" t="s">
        <v>113</v>
      </c>
      <c r="B108" s="4" t="n">
        <v>5</v>
      </c>
      <c r="C108" s="4" t="s">
        <v>11</v>
      </c>
      <c r="D108" s="5" t="str">
        <f aca="false">IF(C108="Week 1",COUNTIF($C$3:C108,"Week 1"),"")</f>
        <v/>
      </c>
      <c r="E108" s="5" t="n">
        <f aca="false">IF(C108="Week 2",COUNTIF($C$3:C108,"Week 2"),"")</f>
        <v>51</v>
      </c>
    </row>
    <row r="109" customFormat="false" ht="15" hidden="false" customHeight="false" outlineLevel="0" collapsed="false">
      <c r="A109" s="4" t="s">
        <v>114</v>
      </c>
      <c r="B109" s="4" t="n">
        <v>5</v>
      </c>
      <c r="C109" s="4" t="s">
        <v>7</v>
      </c>
      <c r="D109" s="5" t="n">
        <f aca="false">IF(C109="Week 1",COUNTIF($C$3:C109,"Week 1"),"")</f>
        <v>56</v>
      </c>
      <c r="E109" s="5" t="str">
        <f aca="false">IF(C109="Week 2",COUNTIF($C$3:C109,"Week 2"),"")</f>
        <v/>
      </c>
    </row>
    <row r="110" customFormat="false" ht="15" hidden="false" customHeight="false" outlineLevel="0" collapsed="false">
      <c r="A110" s="4" t="s">
        <v>115</v>
      </c>
      <c r="B110" s="4" t="n">
        <v>5</v>
      </c>
      <c r="C110" s="4" t="s">
        <v>7</v>
      </c>
      <c r="D110" s="5" t="n">
        <f aca="false">IF(C110="Week 1",COUNTIF($C$3:C110,"Week 1"),"")</f>
        <v>57</v>
      </c>
      <c r="E110" s="5" t="str">
        <f aca="false">IF(C110="Week 2",COUNTIF($C$3:C110,"Week 2"),"")</f>
        <v/>
      </c>
    </row>
    <row r="111" customFormat="false" ht="15" hidden="false" customHeight="false" outlineLevel="0" collapsed="false">
      <c r="A111" s="4" t="s">
        <v>116</v>
      </c>
      <c r="B111" s="4" t="n">
        <v>5</v>
      </c>
      <c r="C111" s="4" t="s">
        <v>7</v>
      </c>
      <c r="D111" s="5" t="n">
        <f aca="false">IF(C111="Week 1",COUNTIF($C$3:C111,"Week 1"),"")</f>
        <v>58</v>
      </c>
      <c r="E111" s="5" t="str">
        <f aca="false">IF(C111="Week 2",COUNTIF($C$3:C111,"Week 2"),"")</f>
        <v/>
      </c>
    </row>
    <row r="112" customFormat="false" ht="15" hidden="false" customHeight="false" outlineLevel="0" collapsed="false">
      <c r="A112" s="4" t="s">
        <v>117</v>
      </c>
      <c r="B112" s="4" t="n">
        <v>8</v>
      </c>
      <c r="C112" s="4" t="s">
        <v>11</v>
      </c>
      <c r="D112" s="5" t="str">
        <f aca="false">IF(C112="Week 1",COUNTIF($C$3:C112,"Week 1"),"")</f>
        <v/>
      </c>
      <c r="E112" s="5" t="n">
        <f aca="false">IF(C112="Week 2",COUNTIF($C$3:C112,"Week 2"),"")</f>
        <v>52</v>
      </c>
    </row>
    <row r="113" customFormat="false" ht="15" hidden="false" customHeight="false" outlineLevel="0" collapsed="false">
      <c r="A113" s="4" t="s">
        <v>118</v>
      </c>
      <c r="B113" s="4" t="n">
        <v>5</v>
      </c>
      <c r="C113" s="4" t="s">
        <v>11</v>
      </c>
      <c r="D113" s="5" t="str">
        <f aca="false">IF(C113="Week 1",COUNTIF($C$3:C113,"Week 1"),"")</f>
        <v/>
      </c>
      <c r="E113" s="5" t="n">
        <f aca="false">IF(C113="Week 2",COUNTIF($C$3:C113,"Week 2"),"")</f>
        <v>53</v>
      </c>
    </row>
    <row r="114" customFormat="false" ht="15" hidden="false" customHeight="false" outlineLevel="0" collapsed="false">
      <c r="A114" s="4" t="s">
        <v>119</v>
      </c>
      <c r="B114" s="4" t="n">
        <v>8</v>
      </c>
      <c r="C114" s="4" t="s">
        <v>7</v>
      </c>
      <c r="D114" s="5" t="n">
        <f aca="false">IF(C114="Week 1",COUNTIF($C$3:C114,"Week 1"),"")</f>
        <v>59</v>
      </c>
      <c r="E114" s="5" t="str">
        <f aca="false">IF(C114="Week 2",COUNTIF($C$3:C114,"Week 2"),"")</f>
        <v/>
      </c>
    </row>
    <row r="115" customFormat="false" ht="15" hidden="false" customHeight="false" outlineLevel="0" collapsed="false">
      <c r="A115" s="4" t="s">
        <v>120</v>
      </c>
      <c r="B115" s="4" t="n">
        <v>8</v>
      </c>
      <c r="C115" s="4" t="s">
        <v>7</v>
      </c>
      <c r="D115" s="5" t="n">
        <f aca="false">IF(C115="Week 1",COUNTIF($C$3:C115,"Week 1"),"")</f>
        <v>60</v>
      </c>
      <c r="E115" s="5" t="str">
        <f aca="false">IF(C115="Week 2",COUNTIF($C$3:C115,"Week 2"),"")</f>
        <v/>
      </c>
    </row>
    <row r="116" customFormat="false" ht="15" hidden="false" customHeight="false" outlineLevel="0" collapsed="false">
      <c r="A116" s="4" t="s">
        <v>121</v>
      </c>
      <c r="B116" s="4" t="n">
        <v>8</v>
      </c>
      <c r="C116" s="4" t="s">
        <v>7</v>
      </c>
      <c r="D116" s="5" t="n">
        <f aca="false">IF(C116="Week 1",COUNTIF($C$3:C116,"Week 1"),"")</f>
        <v>61</v>
      </c>
      <c r="E116" s="5" t="str">
        <f aca="false">IF(C116="Week 2",COUNTIF($C$3:C116,"Week 2"),"")</f>
        <v/>
      </c>
    </row>
    <row r="117" customFormat="false" ht="15" hidden="false" customHeight="false" outlineLevel="0" collapsed="false">
      <c r="A117" s="4" t="s">
        <v>122</v>
      </c>
      <c r="B117" s="4" t="n">
        <v>8</v>
      </c>
      <c r="C117" s="4" t="s">
        <v>11</v>
      </c>
      <c r="D117" s="5" t="str">
        <f aca="false">IF(C117="Week 1",COUNTIF($C$3:C117,"Week 1"),"")</f>
        <v/>
      </c>
      <c r="E117" s="5" t="n">
        <f aca="false">IF(C117="Week 2",COUNTIF($C$3:C117,"Week 2"),"")</f>
        <v>54</v>
      </c>
    </row>
    <row r="118" customFormat="false" ht="15" hidden="false" customHeight="false" outlineLevel="0" collapsed="false">
      <c r="A118" s="4" t="s">
        <v>123</v>
      </c>
      <c r="B118" s="4" t="n">
        <v>8</v>
      </c>
      <c r="C118" s="4" t="s">
        <v>7</v>
      </c>
      <c r="D118" s="5" t="n">
        <f aca="false">IF(C118="Week 1",COUNTIF($C$3:C118,"Week 1"),"")</f>
        <v>62</v>
      </c>
      <c r="E118" s="5" t="str">
        <f aca="false">IF(C118="Week 2",COUNTIF($C$3:C118,"Week 2"),"")</f>
        <v/>
      </c>
    </row>
    <row r="119" customFormat="false" ht="15" hidden="false" customHeight="false" outlineLevel="0" collapsed="false">
      <c r="A119" s="4" t="s">
        <v>124</v>
      </c>
      <c r="B119" s="4" t="n">
        <v>8</v>
      </c>
      <c r="C119" s="4" t="s">
        <v>11</v>
      </c>
      <c r="D119" s="5" t="str">
        <f aca="false">IF(C119="Week 1",COUNTIF($C$3:C119,"Week 1"),"")</f>
        <v/>
      </c>
      <c r="E119" s="5" t="n">
        <f aca="false">IF(C119="Week 2",COUNTIF($C$3:C119,"Week 2"),"")</f>
        <v>55</v>
      </c>
    </row>
    <row r="120" customFormat="false" ht="15" hidden="false" customHeight="false" outlineLevel="0" collapsed="false">
      <c r="A120" s="4" t="s">
        <v>125</v>
      </c>
      <c r="B120" s="4" t="n">
        <v>5</v>
      </c>
      <c r="C120" s="4" t="s">
        <v>7</v>
      </c>
      <c r="D120" s="5" t="n">
        <f aca="false">IF(C120="Week 1",COUNTIF($C$3:C120,"Week 1"),"")</f>
        <v>63</v>
      </c>
      <c r="E120" s="5" t="str">
        <f aca="false">IF(C120="Week 2",COUNTIF($C$3:C120,"Week 2"),"")</f>
        <v/>
      </c>
    </row>
    <row r="121" customFormat="false" ht="15" hidden="false" customHeight="false" outlineLevel="0" collapsed="false">
      <c r="A121" s="4" t="s">
        <v>126</v>
      </c>
      <c r="B121" s="4" t="n">
        <v>8</v>
      </c>
      <c r="C121" s="4" t="s">
        <v>11</v>
      </c>
      <c r="D121" s="5" t="str">
        <f aca="false">IF(C121="Week 1",COUNTIF($C$3:C121,"Week 1"),"")</f>
        <v/>
      </c>
      <c r="E121" s="5" t="n">
        <f aca="false">IF(C121="Week 2",COUNTIF($C$3:C121,"Week 2"),"")</f>
        <v>56</v>
      </c>
    </row>
    <row r="122" customFormat="false" ht="15" hidden="false" customHeight="false" outlineLevel="0" collapsed="false">
      <c r="A122" s="4" t="s">
        <v>127</v>
      </c>
      <c r="B122" s="4" t="n">
        <v>8</v>
      </c>
      <c r="C122" s="4" t="s">
        <v>11</v>
      </c>
      <c r="D122" s="5" t="str">
        <f aca="false">IF(C122="Week 1",COUNTIF($C$3:C122,"Week 1"),"")</f>
        <v/>
      </c>
      <c r="E122" s="5" t="n">
        <f aca="false">IF(C122="Week 2",COUNTIF($C$3:C122,"Week 2"),"")</f>
        <v>57</v>
      </c>
    </row>
    <row r="123" customFormat="false" ht="15" hidden="false" customHeight="false" outlineLevel="0" collapsed="false">
      <c r="A123" s="4" t="s">
        <v>128</v>
      </c>
      <c r="B123" s="4" t="n">
        <v>5</v>
      </c>
      <c r="C123" s="4" t="s">
        <v>7</v>
      </c>
      <c r="D123" s="5" t="n">
        <f aca="false">IF(C123="Week 1",COUNTIF($C$3:C123,"Week 1"),"")</f>
        <v>64</v>
      </c>
      <c r="E123" s="5" t="str">
        <f aca="false">IF(C123="Week 2",COUNTIF($C$3:C123,"Week 2"),"")</f>
        <v/>
      </c>
    </row>
    <row r="124" customFormat="false" ht="15" hidden="false" customHeight="false" outlineLevel="0" collapsed="false">
      <c r="A124" s="4" t="s">
        <v>129</v>
      </c>
      <c r="B124" s="4" t="n">
        <v>5</v>
      </c>
      <c r="C124" s="4" t="s">
        <v>7</v>
      </c>
      <c r="D124" s="5" t="n">
        <f aca="false">IF(C124="Week 1",COUNTIF($C$3:C124,"Week 1"),"")</f>
        <v>65</v>
      </c>
      <c r="E124" s="5" t="str">
        <f aca="false">IF(C124="Week 2",COUNTIF($C$3:C124,"Week 2"),"")</f>
        <v/>
      </c>
    </row>
    <row r="125" customFormat="false" ht="15" hidden="false" customHeight="false" outlineLevel="0" collapsed="false">
      <c r="A125" s="4" t="s">
        <v>130</v>
      </c>
      <c r="B125" s="4" t="n">
        <v>8</v>
      </c>
      <c r="C125" s="4" t="s">
        <v>7</v>
      </c>
      <c r="D125" s="5" t="n">
        <f aca="false">IF(C125="Week 1",COUNTIF($C$3:C125,"Week 1"),"")</f>
        <v>66</v>
      </c>
      <c r="E125" s="5" t="str">
        <f aca="false">IF(C125="Week 2",COUNTIF($C$3:C125,"Week 2"),"")</f>
        <v/>
      </c>
    </row>
    <row r="126" customFormat="false" ht="15" hidden="false" customHeight="false" outlineLevel="0" collapsed="false">
      <c r="A126" s="4" t="s">
        <v>131</v>
      </c>
      <c r="B126" s="4" t="n">
        <v>5</v>
      </c>
      <c r="C126" s="4" t="s">
        <v>7</v>
      </c>
      <c r="D126" s="5" t="n">
        <f aca="false">IF(C126="Week 1",COUNTIF($C$3:C126,"Week 1"),"")</f>
        <v>67</v>
      </c>
      <c r="E126" s="5" t="str">
        <f aca="false">IF(C126="Week 2",COUNTIF($C$3:C126,"Week 2"),"")</f>
        <v/>
      </c>
    </row>
    <row r="127" customFormat="false" ht="15" hidden="false" customHeight="false" outlineLevel="0" collapsed="false">
      <c r="A127" s="4" t="s">
        <v>132</v>
      </c>
      <c r="B127" s="4" t="n">
        <v>8</v>
      </c>
      <c r="C127" s="4" t="s">
        <v>11</v>
      </c>
      <c r="D127" s="5" t="str">
        <f aca="false">IF(C127="Week 1",COUNTIF($C$3:C127,"Week 1"),"")</f>
        <v/>
      </c>
      <c r="E127" s="5" t="n">
        <f aca="false">IF(C127="Week 2",COUNTIF($C$3:C127,"Week 2"),"")</f>
        <v>58</v>
      </c>
    </row>
    <row r="128" customFormat="false" ht="15" hidden="false" customHeight="false" outlineLevel="0" collapsed="false">
      <c r="A128" s="4" t="s">
        <v>133</v>
      </c>
      <c r="B128" s="4" t="n">
        <v>5</v>
      </c>
      <c r="C128" s="4" t="s">
        <v>7</v>
      </c>
      <c r="D128" s="5" t="n">
        <f aca="false">IF(C128="Week 1",COUNTIF($C$3:C128,"Week 1"),"")</f>
        <v>68</v>
      </c>
      <c r="E128" s="5" t="str">
        <f aca="false">IF(C128="Week 2",COUNTIF($C$3:C128,"Week 2"),"")</f>
        <v/>
      </c>
    </row>
    <row r="129" customFormat="false" ht="15" hidden="false" customHeight="false" outlineLevel="0" collapsed="false">
      <c r="A129" s="4" t="s">
        <v>134</v>
      </c>
      <c r="B129" s="4" t="n">
        <v>5</v>
      </c>
      <c r="C129" s="4" t="s">
        <v>11</v>
      </c>
      <c r="D129" s="5" t="str">
        <f aca="false">IF(C129="Week 1",COUNTIF($C$3:C129,"Week 1"),"")</f>
        <v/>
      </c>
      <c r="E129" s="5" t="n">
        <f aca="false">IF(C129="Week 2",COUNTIF($C$3:C129,"Week 2"),"")</f>
        <v>59</v>
      </c>
    </row>
    <row r="130" customFormat="false" ht="15" hidden="false" customHeight="false" outlineLevel="0" collapsed="false">
      <c r="A130" s="4" t="s">
        <v>135</v>
      </c>
      <c r="B130" s="4" t="n">
        <v>5</v>
      </c>
      <c r="C130" s="4" t="s">
        <v>7</v>
      </c>
      <c r="D130" s="5" t="n">
        <f aca="false">IF(C130="Week 1",COUNTIF($C$3:C130,"Week 1"),"")</f>
        <v>69</v>
      </c>
      <c r="E130" s="5" t="str">
        <f aca="false">IF(C130="Week 2",COUNTIF($C$3:C130,"Week 2"),"")</f>
        <v/>
      </c>
    </row>
    <row r="131" customFormat="false" ht="15" hidden="false" customHeight="false" outlineLevel="0" collapsed="false">
      <c r="A131" s="4" t="s">
        <v>136</v>
      </c>
      <c r="B131" s="4" t="n">
        <v>8</v>
      </c>
      <c r="C131" s="4" t="s">
        <v>11</v>
      </c>
      <c r="D131" s="5" t="str">
        <f aca="false">IF(C131="Week 1",COUNTIF($C$3:C131,"Week 1"),"")</f>
        <v/>
      </c>
      <c r="E131" s="5" t="n">
        <f aca="false">IF(C131="Week 2",COUNTIF($C$3:C131,"Week 2"),"")</f>
        <v>60</v>
      </c>
    </row>
    <row r="132" customFormat="false" ht="15" hidden="false" customHeight="false" outlineLevel="0" collapsed="false">
      <c r="A132" s="4" t="s">
        <v>137</v>
      </c>
      <c r="B132" s="4" t="n">
        <v>8</v>
      </c>
      <c r="C132" s="4" t="s">
        <v>11</v>
      </c>
      <c r="D132" s="5" t="str">
        <f aca="false">IF(C132="Week 1",COUNTIF($C$3:C132,"Week 1"),"")</f>
        <v/>
      </c>
      <c r="E132" s="5" t="n">
        <f aca="false">IF(C132="Week 2",COUNTIF($C$3:C132,"Week 2"),"")</f>
        <v>61</v>
      </c>
    </row>
    <row r="133" customFormat="false" ht="15" hidden="false" customHeight="false" outlineLevel="0" collapsed="false">
      <c r="A133" s="4" t="s">
        <v>138</v>
      </c>
      <c r="B133" s="4" t="n">
        <v>8</v>
      </c>
      <c r="C133" s="4" t="s">
        <v>7</v>
      </c>
      <c r="D133" s="5" t="n">
        <f aca="false">IF(C133="Week 1",COUNTIF($C$3:C133,"Week 1"),"")</f>
        <v>70</v>
      </c>
      <c r="E133" s="5" t="str">
        <f aca="false">IF(C133="Week 2",COUNTIF($C$3:C133,"Week 2"),"")</f>
        <v/>
      </c>
    </row>
    <row r="134" customFormat="false" ht="15" hidden="false" customHeight="false" outlineLevel="0" collapsed="false">
      <c r="A134" s="4" t="s">
        <v>139</v>
      </c>
      <c r="B134" s="4" t="n">
        <v>5</v>
      </c>
      <c r="C134" s="4" t="s">
        <v>7</v>
      </c>
      <c r="D134" s="5" t="n">
        <f aca="false">IF(C134="Week 1",COUNTIF($C$3:C134,"Week 1"),"")</f>
        <v>71</v>
      </c>
      <c r="E134" s="5" t="str">
        <f aca="false">IF(C134="Week 2",COUNTIF($C$3:C134,"Week 2"),"")</f>
        <v/>
      </c>
    </row>
    <row r="135" customFormat="false" ht="15" hidden="false" customHeight="false" outlineLevel="0" collapsed="false">
      <c r="A135" s="4" t="s">
        <v>140</v>
      </c>
      <c r="B135" s="4" t="n">
        <v>5</v>
      </c>
      <c r="C135" s="4" t="s">
        <v>7</v>
      </c>
      <c r="D135" s="5" t="n">
        <f aca="false">IF(C135="Week 1",COUNTIF($C$3:C135,"Week 1"),"")</f>
        <v>72</v>
      </c>
      <c r="E135" s="5" t="str">
        <f aca="false">IF(C135="Week 2",COUNTIF($C$3:C135,"Week 2"),"")</f>
        <v/>
      </c>
    </row>
    <row r="136" customFormat="false" ht="15" hidden="false" customHeight="false" outlineLevel="0" collapsed="false">
      <c r="A136" s="4" t="s">
        <v>141</v>
      </c>
      <c r="B136" s="4" t="n">
        <v>5</v>
      </c>
      <c r="C136" s="4" t="s">
        <v>11</v>
      </c>
      <c r="D136" s="5" t="str">
        <f aca="false">IF(C136="Week 1",COUNTIF($C$3:C136,"Week 1"),"")</f>
        <v/>
      </c>
      <c r="E136" s="5" t="n">
        <f aca="false">IF(C136="Week 2",COUNTIF($C$3:C136,"Week 2"),"")</f>
        <v>62</v>
      </c>
    </row>
    <row r="137" customFormat="false" ht="15" hidden="false" customHeight="false" outlineLevel="0" collapsed="false">
      <c r="A137" s="4" t="s">
        <v>142</v>
      </c>
      <c r="B137" s="4" t="n">
        <v>5</v>
      </c>
      <c r="C137" s="4" t="s">
        <v>11</v>
      </c>
      <c r="D137" s="5" t="str">
        <f aca="false">IF(C137="Week 1",COUNTIF($C$3:C137,"Week 1"),"")</f>
        <v/>
      </c>
      <c r="E137" s="5" t="n">
        <f aca="false">IF(C137="Week 2",COUNTIF($C$3:C137,"Week 2"),"")</f>
        <v>63</v>
      </c>
    </row>
    <row r="138" customFormat="false" ht="15" hidden="false" customHeight="false" outlineLevel="0" collapsed="false">
      <c r="A138" s="4" t="s">
        <v>143</v>
      </c>
      <c r="B138" s="4" t="n">
        <v>5</v>
      </c>
      <c r="C138" s="4" t="s">
        <v>7</v>
      </c>
      <c r="D138" s="5" t="n">
        <f aca="false">IF(C138="Week 1",COUNTIF($C$3:C138,"Week 1"),"")</f>
        <v>73</v>
      </c>
      <c r="E138" s="5" t="str">
        <f aca="false">IF(C138="Week 2",COUNTIF($C$3:C138,"Week 2"),"")</f>
        <v/>
      </c>
    </row>
    <row r="139" customFormat="false" ht="15" hidden="false" customHeight="false" outlineLevel="0" collapsed="false">
      <c r="A139" s="4" t="s">
        <v>144</v>
      </c>
      <c r="B139" s="4" t="n">
        <v>8</v>
      </c>
      <c r="C139" s="4" t="s">
        <v>11</v>
      </c>
      <c r="D139" s="5" t="str">
        <f aca="false">IF(C139="Week 1",COUNTIF($C$3:C139,"Week 1"),"")</f>
        <v/>
      </c>
      <c r="E139" s="5" t="n">
        <f aca="false">IF(C139="Week 2",COUNTIF($C$3:C139,"Week 2"),"")</f>
        <v>64</v>
      </c>
    </row>
    <row r="140" customFormat="false" ht="15" hidden="false" customHeight="false" outlineLevel="0" collapsed="false">
      <c r="A140" s="4" t="s">
        <v>145</v>
      </c>
      <c r="B140" s="4" t="n">
        <v>5</v>
      </c>
      <c r="C140" s="4" t="s">
        <v>11</v>
      </c>
      <c r="D140" s="5" t="str">
        <f aca="false">IF(C140="Week 1",COUNTIF($C$3:C140,"Week 1"),"")</f>
        <v/>
      </c>
      <c r="E140" s="5" t="n">
        <f aca="false">IF(C140="Week 2",COUNTIF($C$3:C140,"Week 2"),"")</f>
        <v>65</v>
      </c>
    </row>
    <row r="141" customFormat="false" ht="15" hidden="false" customHeight="false" outlineLevel="0" collapsed="false">
      <c r="A141" s="4" t="s">
        <v>146</v>
      </c>
      <c r="B141" s="4" t="n">
        <v>8</v>
      </c>
      <c r="C141" s="4" t="s">
        <v>11</v>
      </c>
      <c r="D141" s="5" t="str">
        <f aca="false">IF(C141="Week 1",COUNTIF($C$3:C141,"Week 1"),"")</f>
        <v/>
      </c>
      <c r="E141" s="5" t="n">
        <f aca="false">IF(C141="Week 2",COUNTIF($C$3:C141,"Week 2"),"")</f>
        <v>66</v>
      </c>
    </row>
    <row r="142" customFormat="false" ht="15" hidden="false" customHeight="false" outlineLevel="0" collapsed="false">
      <c r="A142" s="4" t="s">
        <v>147</v>
      </c>
      <c r="B142" s="4" t="n">
        <v>5</v>
      </c>
      <c r="C142" s="4" t="s">
        <v>7</v>
      </c>
      <c r="D142" s="5" t="n">
        <f aca="false">IF(C142="Week 1",COUNTIF($C$3:C142,"Week 1"),"")</f>
        <v>74</v>
      </c>
      <c r="E142" s="5" t="str">
        <f aca="false">IF(C142="Week 2",COUNTIF($C$3:C142,"Week 2"),"")</f>
        <v/>
      </c>
    </row>
    <row r="143" customFormat="false" ht="15" hidden="false" customHeight="false" outlineLevel="0" collapsed="false">
      <c r="A143" s="4" t="s">
        <v>148</v>
      </c>
      <c r="B143" s="4" t="n">
        <v>5</v>
      </c>
      <c r="C143" s="4" t="s">
        <v>7</v>
      </c>
      <c r="D143" s="5" t="n">
        <f aca="false">IF(C143="Week 1",COUNTIF($C$3:C143,"Week 1"),"")</f>
        <v>75</v>
      </c>
      <c r="E143" s="5" t="str">
        <f aca="false">IF(C143="Week 2",COUNTIF($C$3:C143,"Week 2"),"")</f>
        <v/>
      </c>
    </row>
    <row r="144" customFormat="false" ht="15" hidden="false" customHeight="false" outlineLevel="0" collapsed="false">
      <c r="A144" s="4" t="s">
        <v>149</v>
      </c>
      <c r="B144" s="4" t="n">
        <v>8</v>
      </c>
      <c r="C144" s="4" t="s">
        <v>11</v>
      </c>
      <c r="D144" s="5" t="str">
        <f aca="false">IF(C144="Week 1",COUNTIF($C$3:C144,"Week 1"),"")</f>
        <v/>
      </c>
      <c r="E144" s="5" t="n">
        <f aca="false">IF(C144="Week 2",COUNTIF($C$3:C144,"Week 2"),"")</f>
        <v>67</v>
      </c>
    </row>
    <row r="145" customFormat="false" ht="15" hidden="false" customHeight="false" outlineLevel="0" collapsed="false">
      <c r="A145" s="4" t="s">
        <v>150</v>
      </c>
      <c r="B145" s="4" t="n">
        <v>8</v>
      </c>
      <c r="C145" s="4" t="s">
        <v>11</v>
      </c>
      <c r="D145" s="5" t="str">
        <f aca="false">IF(C145="Week 1",COUNTIF($C$3:C145,"Week 1"),"")</f>
        <v/>
      </c>
      <c r="E145" s="5" t="n">
        <f aca="false">IF(C145="Week 2",COUNTIF($C$3:C145,"Week 2"),"")</f>
        <v>68</v>
      </c>
    </row>
    <row r="146" customFormat="false" ht="15" hidden="false" customHeight="false" outlineLevel="0" collapsed="false">
      <c r="A146" s="4" t="s">
        <v>151</v>
      </c>
      <c r="B146" s="4" t="n">
        <v>5</v>
      </c>
      <c r="C146" s="4" t="s">
        <v>11</v>
      </c>
      <c r="D146" s="5" t="str">
        <f aca="false">IF(C146="Week 1",COUNTIF($C$3:C146,"Week 1"),"")</f>
        <v/>
      </c>
      <c r="E146" s="5" t="n">
        <f aca="false">IF(C146="Week 2",COUNTIF($C$3:C146,"Week 2"),"")</f>
        <v>69</v>
      </c>
    </row>
    <row r="147" customFormat="false" ht="15" hidden="false" customHeight="false" outlineLevel="0" collapsed="false">
      <c r="A147" s="4" t="s">
        <v>152</v>
      </c>
      <c r="B147" s="4" t="n">
        <v>5</v>
      </c>
      <c r="C147" s="4" t="s">
        <v>11</v>
      </c>
      <c r="D147" s="5" t="str">
        <f aca="false">IF(C147="Week 1",COUNTIF($C$3:C147,"Week 1"),"")</f>
        <v/>
      </c>
      <c r="E147" s="5" t="n">
        <f aca="false">IF(C147="Week 2",COUNTIF($C$3:C147,"Week 2"),"")</f>
        <v>70</v>
      </c>
    </row>
    <row r="148" customFormat="false" ht="15" hidden="false" customHeight="false" outlineLevel="0" collapsed="false">
      <c r="A148" s="4" t="s">
        <v>153</v>
      </c>
      <c r="B148" s="4" t="n">
        <v>8</v>
      </c>
      <c r="C148" s="4" t="s">
        <v>11</v>
      </c>
      <c r="D148" s="5" t="str">
        <f aca="false">IF(C148="Week 1",COUNTIF($C$3:C148,"Week 1"),"")</f>
        <v/>
      </c>
      <c r="E148" s="5" t="n">
        <f aca="false">IF(C148="Week 2",COUNTIF($C$3:C148,"Week 2"),"")</f>
        <v>71</v>
      </c>
    </row>
  </sheetData>
  <dataValidations count="1">
    <dataValidation allowBlank="false" errorStyle="stop" operator="between" showDropDown="false" showErrorMessage="false" showInputMessage="false" sqref="C3:C148" type="list">
      <formula1>"Week 1,Week 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4"/>
  </cols>
  <sheetData>
    <row r="1" customFormat="false" ht="16.15" hidden="false" customHeight="false" outlineLevel="0" collapsed="false">
      <c r="A1" s="6" t="s">
        <v>154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33.75" hidden="false" customHeight="true" outlineLevel="0" collapsed="false">
      <c r="A3" s="3" t="s">
        <v>155</v>
      </c>
      <c r="B3" s="3" t="s">
        <v>156</v>
      </c>
      <c r="C3" s="3" t="s">
        <v>157</v>
      </c>
      <c r="D3" s="3" t="s">
        <v>158</v>
      </c>
      <c r="E3" s="3" t="s">
        <v>159</v>
      </c>
      <c r="F3" s="3" t="s">
        <v>160</v>
      </c>
      <c r="G3" s="3" t="s">
        <v>161</v>
      </c>
      <c r="H3" s="3" t="s">
        <v>162</v>
      </c>
    </row>
    <row r="4" customFormat="false" ht="15" hidden="false" customHeight="false" outlineLevel="0" collapsed="false">
      <c r="A4" s="2" t="s">
        <v>7</v>
      </c>
      <c r="B4" s="2" t="n">
        <f aca="false">'Week 1'!D1</f>
        <v>75</v>
      </c>
      <c r="C4" s="2" t="n">
        <f aca="false">COUNTIF('Week 1'!D3:D90,"Completed")</f>
        <v>65</v>
      </c>
      <c r="D4" s="7" t="n">
        <f aca="false">IF(B4=0,0,C4/B4)</f>
        <v>0.866666666666667</v>
      </c>
      <c r="E4" s="2" t="n">
        <f aca="false">COUNTIF('Week 1'!H3:H90,"Completed")</f>
        <v>66</v>
      </c>
      <c r="F4" s="7" t="n">
        <f aca="false">IF(B4=0,0,E4/B4)</f>
        <v>0.88</v>
      </c>
      <c r="G4" s="8" t="n">
        <f aca="false">IFERROR(AVERAGE('Week 1'!E3:E90),0)</f>
        <v>546.123076923077</v>
      </c>
      <c r="H4" s="8" t="n">
        <f aca="false">IFERROR(AVERAGE('Week 1'!I3:I90),0)</f>
        <v>539.287878787879</v>
      </c>
    </row>
    <row r="5" customFormat="false" ht="15" hidden="false" customHeight="false" outlineLevel="0" collapsed="false">
      <c r="A5" s="2" t="s">
        <v>11</v>
      </c>
      <c r="B5" s="2" t="n">
        <f aca="false">'Week 2'!D1</f>
        <v>71</v>
      </c>
      <c r="C5" s="2" t="n">
        <f aca="false">COUNTIF('Week 2'!D3:D90,"Completed")</f>
        <v>62</v>
      </c>
      <c r="D5" s="7" t="n">
        <f aca="false">IF(B5=0,0,C5/B5)</f>
        <v>0.873239436619718</v>
      </c>
      <c r="E5" s="2" t="n">
        <f aca="false">COUNTIF('Week 2'!H3:H90,"Completed")</f>
        <v>61</v>
      </c>
      <c r="F5" s="7" t="n">
        <f aca="false">IF(B5=0,0,E5/B5)</f>
        <v>0.859154929577465</v>
      </c>
      <c r="G5" s="8" t="n">
        <f aca="false">IFERROR(AVERAGE('Week 2'!E3:E90),0)</f>
        <v>557.741935483871</v>
      </c>
      <c r="H5" s="8" t="n">
        <f aca="false">IFERROR(AVERAGE('Week 2'!I3:I90),0)</f>
        <v>561.409836065574</v>
      </c>
    </row>
    <row r="6" customFormat="false" ht="15" hidden="false" customHeight="false" outlineLevel="0" collapsed="false">
      <c r="A6" s="2" t="s">
        <v>163</v>
      </c>
      <c r="B6" s="2" t="n">
        <f aca="false">SUM(B4:B5)</f>
        <v>146</v>
      </c>
      <c r="C6" s="2" t="n">
        <f aca="false">SUM(C4:C5)</f>
        <v>127</v>
      </c>
      <c r="D6" s="7" t="n">
        <f aca="false">IF(B6=0,0,C6/B6)</f>
        <v>0.86986301369863</v>
      </c>
      <c r="E6" s="2" t="n">
        <f aca="false">SUM(E4:E5)</f>
        <v>127</v>
      </c>
      <c r="F6" s="7" t="n">
        <f aca="false">IF(B6=0,0,E6/B6)</f>
        <v>0.86986301369863</v>
      </c>
      <c r="G6" s="8" t="n">
        <f aca="false">IFERROR(AVERAGE('Week 1'!E3:E90,'Week 2'!E3:E90),0)</f>
        <v>551.795275590551</v>
      </c>
      <c r="H6" s="8" t="n">
        <f aca="false">IFERROR(AVERAGE('Week 1'!I3:I90,'Week 2'!I3:I90),0)</f>
        <v>549.913385826772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33.75" hidden="false" customHeight="true" outlineLevel="0" collapsed="false">
      <c r="A9" s="3" t="s">
        <v>164</v>
      </c>
      <c r="B9" s="3" t="s">
        <v>165</v>
      </c>
      <c r="C9" s="3" t="s">
        <v>158</v>
      </c>
      <c r="D9" s="3" t="s">
        <v>166</v>
      </c>
      <c r="E9" s="3" t="s">
        <v>160</v>
      </c>
      <c r="F9" s="2"/>
      <c r="G9" s="2"/>
      <c r="H9" s="2"/>
    </row>
    <row r="10" customFormat="false" ht="15" hidden="false" customHeight="false" outlineLevel="0" collapsed="false">
      <c r="A10" s="2" t="s">
        <v>167</v>
      </c>
      <c r="B10" s="2" t="n">
        <f aca="false">COUNTIF('Week 1'!G3:G90,A10)+COUNTIF('Week 2'!G3:G90,A10)</f>
        <v>38</v>
      </c>
      <c r="C10" s="7" t="n">
        <f aca="false">IF(SUM($B$10:$B$13)=0,0,B10/SUM($B$10:$B$13))</f>
        <v>0.299212598425197</v>
      </c>
      <c r="D10" s="2" t="n">
        <f aca="false">COUNTIF('Week 1'!K3:K90,A10)+COUNTIF('Week 2'!K3:K90,A10)</f>
        <v>36</v>
      </c>
      <c r="E10" s="7" t="n">
        <f aca="false">IF(SUM($D$10:$D$13)=0,0,D10/SUM($D$10:$D$13))</f>
        <v>0.283464566929134</v>
      </c>
      <c r="F10" s="2"/>
      <c r="G10" s="2"/>
      <c r="H10" s="2"/>
    </row>
    <row r="11" customFormat="false" ht="15" hidden="false" customHeight="false" outlineLevel="0" collapsed="false">
      <c r="A11" s="2" t="s">
        <v>168</v>
      </c>
      <c r="B11" s="2" t="n">
        <f aca="false">COUNTIF('Week 1'!G3:G90,A11)+COUNTIF('Week 2'!G3:G90,A11)</f>
        <v>33</v>
      </c>
      <c r="C11" s="7" t="n">
        <f aca="false">IF(SUM($B$10:$B$13)=0,0,B11/SUM($B$10:$B$13))</f>
        <v>0.259842519685039</v>
      </c>
      <c r="D11" s="2" t="n">
        <f aca="false">COUNTIF('Week 1'!K3:K90,A11)+COUNTIF('Week 2'!K3:K90,A11)</f>
        <v>40</v>
      </c>
      <c r="E11" s="7" t="n">
        <f aca="false">IF(SUM($D$10:$D$13)=0,0,D11/SUM($D$10:$D$13))</f>
        <v>0.31496062992126</v>
      </c>
      <c r="F11" s="2"/>
      <c r="G11" s="2"/>
      <c r="H11" s="2"/>
    </row>
    <row r="12" customFormat="false" ht="15" hidden="false" customHeight="false" outlineLevel="0" collapsed="false">
      <c r="A12" s="2" t="s">
        <v>169</v>
      </c>
      <c r="B12" s="2" t="n">
        <f aca="false">COUNTIF('Week 1'!G3:G90,A12)+COUNTIF('Week 2'!G3:G90,A12)</f>
        <v>30</v>
      </c>
      <c r="C12" s="7" t="n">
        <f aca="false">IF(SUM($B$10:$B$13)=0,0,B12/SUM($B$10:$B$13))</f>
        <v>0.236220472440945</v>
      </c>
      <c r="D12" s="2" t="n">
        <f aca="false">COUNTIF('Week 1'!K3:K90,A12)+COUNTIF('Week 2'!K3:K90,A12)</f>
        <v>29</v>
      </c>
      <c r="E12" s="7" t="n">
        <f aca="false">IF(SUM($D$10:$D$13)=0,0,D12/SUM($D$10:$D$13))</f>
        <v>0.228346456692913</v>
      </c>
      <c r="F12" s="2"/>
      <c r="G12" s="2"/>
      <c r="H12" s="2"/>
    </row>
    <row r="13" customFormat="false" ht="15" hidden="false" customHeight="false" outlineLevel="0" collapsed="false">
      <c r="A13" s="2" t="s">
        <v>170</v>
      </c>
      <c r="B13" s="2" t="n">
        <f aca="false">COUNTIF('Week 1'!G3:G90,A13)+COUNTIF('Week 2'!G3:G90,A13)</f>
        <v>26</v>
      </c>
      <c r="C13" s="7" t="n">
        <f aca="false">IF(SUM($B$10:$B$13)=0,0,B13/SUM($B$10:$B$13))</f>
        <v>0.204724409448819</v>
      </c>
      <c r="D13" s="2" t="n">
        <f aca="false">COUNTIF('Week 1'!K3:K90,A13)+COUNTIF('Week 2'!K3:K90,A13)</f>
        <v>22</v>
      </c>
      <c r="E13" s="7" t="n">
        <f aca="false">IF(SUM($D$10:$D$13)=0,0,D13/SUM($D$10:$D$13))</f>
        <v>0.173228346456693</v>
      </c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33.75" hidden="false" customHeight="true" outlineLevel="0" collapsed="false">
      <c r="A16" s="3" t="s">
        <v>171</v>
      </c>
      <c r="B16" s="3" t="s">
        <v>156</v>
      </c>
      <c r="C16" s="3" t="s">
        <v>172</v>
      </c>
      <c r="D16" s="3" t="s">
        <v>156</v>
      </c>
      <c r="E16" s="2"/>
      <c r="F16" s="2"/>
      <c r="G16" s="2"/>
      <c r="H16" s="2"/>
    </row>
    <row r="17" customFormat="false" ht="15" hidden="false" customHeight="false" outlineLevel="0" collapsed="false">
      <c r="A17" s="2" t="s">
        <v>173</v>
      </c>
      <c r="B17" s="2" t="n">
        <f aca="false">COUNTIF('Week 1'!C3:C90,A17)</f>
        <v>25</v>
      </c>
      <c r="C17" s="2" t="s">
        <v>173</v>
      </c>
      <c r="D17" s="2" t="n">
        <f aca="false">COUNTIF('Week 2'!C3:C90,C17)</f>
        <v>24</v>
      </c>
      <c r="E17" s="2"/>
      <c r="F17" s="2"/>
      <c r="G17" s="2"/>
      <c r="H17" s="2"/>
    </row>
    <row r="18" customFormat="false" ht="15" hidden="false" customHeight="false" outlineLevel="0" collapsed="false">
      <c r="A18" s="2" t="s">
        <v>174</v>
      </c>
      <c r="B18" s="2" t="n">
        <f aca="false">COUNTIF('Week 1'!C3:C90,A18)</f>
        <v>25</v>
      </c>
      <c r="C18" s="2" t="s">
        <v>174</v>
      </c>
      <c r="D18" s="2" t="n">
        <f aca="false">COUNTIF('Week 2'!C3:C90,C18)</f>
        <v>24</v>
      </c>
      <c r="E18" s="2"/>
      <c r="F18" s="2"/>
      <c r="G18" s="2"/>
      <c r="H18" s="2"/>
    </row>
    <row r="19" customFormat="false" ht="15" hidden="false" customHeight="false" outlineLevel="0" collapsed="false">
      <c r="A19" s="2" t="s">
        <v>175</v>
      </c>
      <c r="B19" s="2" t="n">
        <f aca="false">COUNTIF('Week 1'!C3:C90,A19)</f>
        <v>25</v>
      </c>
      <c r="C19" s="2" t="s">
        <v>175</v>
      </c>
      <c r="D19" s="2" t="n">
        <f aca="false">COUNTIF('Week 2'!C3:C90,C19)</f>
        <v>23</v>
      </c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1" t="s">
        <v>176</v>
      </c>
      <c r="B21" s="2"/>
      <c r="C21" s="2"/>
      <c r="D21" s="2"/>
      <c r="E21" s="2"/>
      <c r="F21" s="2"/>
      <c r="G21" s="2"/>
      <c r="H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4" min="12" style="0" width="13"/>
    <col collapsed="false" customWidth="true" hidden="false" outlineLevel="0" max="15" min="15" style="0" width="22"/>
  </cols>
  <sheetData>
    <row r="1" customFormat="false" ht="16.15" hidden="false" customHeight="false" outlineLevel="0" collapsed="false">
      <c r="A1" s="6" t="s">
        <v>7</v>
      </c>
      <c r="B1" s="2"/>
      <c r="C1" s="2" t="s">
        <v>177</v>
      </c>
      <c r="D1" s="2" t="n">
        <f aca="false">COUNTIF(A3:A87,"S-*")</f>
        <v>75</v>
      </c>
      <c r="E1" s="2" t="s">
        <v>178</v>
      </c>
      <c r="F1" s="2" t="n">
        <f aca="false">ROUNDUP(D1/3,0)</f>
        <v>25</v>
      </c>
      <c r="G1" s="2"/>
      <c r="H1" s="2"/>
      <c r="I1" s="2"/>
      <c r="J1" s="2"/>
      <c r="K1" s="2"/>
      <c r="L1" s="2"/>
      <c r="M1" s="2"/>
      <c r="N1" s="2"/>
      <c r="O1" s="2"/>
    </row>
    <row r="2" customFormat="false" ht="33.75" hidden="false" customHeight="true" outlineLevel="0" collapsed="false">
      <c r="A2" s="3" t="s">
        <v>1</v>
      </c>
      <c r="B2" s="3" t="s">
        <v>2</v>
      </c>
      <c r="C2" s="3" t="s">
        <v>179</v>
      </c>
      <c r="D2" s="3" t="s">
        <v>180</v>
      </c>
      <c r="E2" s="3" t="s">
        <v>181</v>
      </c>
      <c r="F2" s="3" t="s">
        <v>182</v>
      </c>
      <c r="G2" s="3" t="s">
        <v>183</v>
      </c>
      <c r="H2" s="3" t="s">
        <v>184</v>
      </c>
      <c r="I2" s="3" t="s">
        <v>185</v>
      </c>
      <c r="J2" s="3" t="s">
        <v>186</v>
      </c>
      <c r="K2" s="3" t="s">
        <v>187</v>
      </c>
      <c r="L2" s="3" t="s">
        <v>188</v>
      </c>
      <c r="M2" s="3" t="s">
        <v>189</v>
      </c>
      <c r="N2" s="3" t="s">
        <v>190</v>
      </c>
      <c r="O2" s="3" t="s">
        <v>191</v>
      </c>
    </row>
    <row r="3" customFormat="false" ht="15" hidden="false" customHeight="false" outlineLevel="0" collapsed="false">
      <c r="A3" s="5" t="str">
        <f aca="false">IFERROR(INDEX(Roster!$A$3:$A$148,MATCH(1,Roster!$D$3:$D$148,0)),"")</f>
        <v>S-001</v>
      </c>
      <c r="B3" s="5" t="n">
        <f aca="false">IFERROR(INDEX(Roster!$B$3:$B$148,MATCH(1,Roster!$D$3:$D$148,0)),"")</f>
        <v>8</v>
      </c>
      <c r="C3" s="5" t="str">
        <f aca="false">IF(A3="","",IF(ROW()-3&lt;$F$1,"Group A",IF(ROW()-3&lt;2*$F$1,"Group B","Group C")))</f>
        <v>Group A</v>
      </c>
      <c r="D3" s="4" t="s">
        <v>192</v>
      </c>
      <c r="E3" s="4" t="n">
        <v>667</v>
      </c>
      <c r="F3" s="4" t="s">
        <v>193</v>
      </c>
      <c r="G3" s="9" t="str">
        <f aca="false">IF(F3="","",IF(B3-IF(F3="Grade K",0,VALUE(SUBSTITUTE(F3,"Grade ","")))&lt;=0,"On/above grade",IF(B3-IF(F3="Grade K",0,VALUE(SUBSTITUTE(F3,"Grade ","")))=1,"1 grade below",IF(B3-IF(F3="Grade K",0,VALUE(SUBSTITUTE(F3,"Grade ","")))=2,"2 grades below","3+ grades below"))))</f>
        <v>On/above grade</v>
      </c>
      <c r="H3" s="4" t="s">
        <v>192</v>
      </c>
      <c r="I3" s="4" t="n">
        <v>582</v>
      </c>
      <c r="J3" s="4" t="s">
        <v>194</v>
      </c>
      <c r="K3" s="9" t="str">
        <f aca="false">IF(J3="","",IF(B3-IF(J3="Grade K",0,VALUE(SUBSTITUTE(J3,"Grade ","")))&lt;=0,"On/above grade",IF(B3-IF(J3="Grade K",0,VALUE(SUBSTITUTE(J3,"Grade ","")))=1,"1 grade below",IF(B3-IF(J3="Grade K",0,VALUE(SUBSTITUTE(J3,"Grade ","")))=2,"2 grades below","3+ grades below"))))</f>
        <v>2 grades below</v>
      </c>
      <c r="L3" s="4" t="s">
        <v>195</v>
      </c>
      <c r="M3" s="4" t="s">
        <v>196</v>
      </c>
      <c r="N3" s="4" t="s">
        <v>196</v>
      </c>
      <c r="O3" s="2"/>
    </row>
    <row r="4" customFormat="false" ht="15" hidden="false" customHeight="false" outlineLevel="0" collapsed="false">
      <c r="A4" s="5" t="str">
        <f aca="false">IFERROR(INDEX(Roster!$A$3:$A$148,MATCH(2,Roster!$D$3:$D$148,0)),"")</f>
        <v>S-002</v>
      </c>
      <c r="B4" s="5" t="n">
        <f aca="false">IFERROR(INDEX(Roster!$B$3:$B$148,MATCH(2,Roster!$D$3:$D$148,0)),"")</f>
        <v>5</v>
      </c>
      <c r="C4" s="5" t="str">
        <f aca="false">IF(A4="","",IF(ROW()-3&lt;$F$1,"Group A",IF(ROW()-3&lt;2*$F$1,"Group B","Group C")))</f>
        <v>Group A</v>
      </c>
      <c r="D4" s="4" t="s">
        <v>192</v>
      </c>
      <c r="E4" s="4" t="n">
        <v>566</v>
      </c>
      <c r="F4" s="4" t="s">
        <v>197</v>
      </c>
      <c r="G4" s="9" t="str">
        <f aca="false">IF(F4="","",IF(B4-IF(F4="Grade K",0,VALUE(SUBSTITUTE(F4,"Grade ","")))&lt;=0,"On/above grade",IF(B4-IF(F4="Grade K",0,VALUE(SUBSTITUTE(F4,"Grade ","")))=1,"1 grade below",IF(B4-IF(F4="Grade K",0,VALUE(SUBSTITUTE(F4,"Grade ","")))=2,"2 grades below","3+ grades below"))))</f>
        <v>On/above grade</v>
      </c>
      <c r="H4" s="4" t="s">
        <v>192</v>
      </c>
      <c r="I4" s="4" t="n">
        <v>432</v>
      </c>
      <c r="J4" s="4" t="s">
        <v>198</v>
      </c>
      <c r="K4" s="9" t="str">
        <f aca="false">IF(J4="","",IF(B4-IF(J4="Grade K",0,VALUE(SUBSTITUTE(J4,"Grade ","")))&lt;=0,"On/above grade",IF(B4-IF(J4="Grade K",0,VALUE(SUBSTITUTE(J4,"Grade ","")))=1,"1 grade below",IF(B4-IF(J4="Grade K",0,VALUE(SUBSTITUTE(J4,"Grade ","")))=2,"2 grades below","3+ grades below"))))</f>
        <v>3+ grades below</v>
      </c>
      <c r="L4" s="4" t="s">
        <v>195</v>
      </c>
      <c r="M4" s="4" t="s">
        <v>199</v>
      </c>
      <c r="N4" s="4" t="s">
        <v>196</v>
      </c>
      <c r="O4" s="2"/>
    </row>
    <row r="5" customFormat="false" ht="15" hidden="false" customHeight="false" outlineLevel="0" collapsed="false">
      <c r="A5" s="5" t="str">
        <f aca="false">IFERROR(INDEX(Roster!$A$3:$A$148,MATCH(3,Roster!$D$3:$D$148,0)),"")</f>
        <v>S-003</v>
      </c>
      <c r="B5" s="5" t="n">
        <f aca="false">IFERROR(INDEX(Roster!$B$3:$B$148,MATCH(3,Roster!$D$3:$D$148,0)),"")</f>
        <v>8</v>
      </c>
      <c r="C5" s="5" t="str">
        <f aca="false">IF(A5="","",IF(ROW()-3&lt;$F$1,"Group A",IF(ROW()-3&lt;2*$F$1,"Group B","Group C")))</f>
        <v>Group A</v>
      </c>
      <c r="D5" s="4" t="s">
        <v>192</v>
      </c>
      <c r="E5" s="4" t="n">
        <v>622</v>
      </c>
      <c r="F5" s="4" t="s">
        <v>200</v>
      </c>
      <c r="G5" s="9" t="str">
        <f aca="false">IF(F5="","",IF(B5-IF(F5="Grade K",0,VALUE(SUBSTITUTE(F5,"Grade ","")))&lt;=0,"On/above grade",IF(B5-IF(F5="Grade K",0,VALUE(SUBSTITUTE(F5,"Grade ","")))=1,"1 grade below",IF(B5-IF(F5="Grade K",0,VALUE(SUBSTITUTE(F5,"Grade ","")))=2,"2 grades below","3+ grades below"))))</f>
        <v>1 grade below</v>
      </c>
      <c r="H5" s="4" t="s">
        <v>199</v>
      </c>
      <c r="I5" s="2"/>
      <c r="J5" s="2"/>
      <c r="K5" s="9" t="str">
        <f aca="false">IF(J5="","",IF(B5-IF(J5="Grade K",0,VALUE(SUBSTITUTE(J5,"Grade ","")))&lt;=0,"On/above grade",IF(B5-IF(J5="Grade K",0,VALUE(SUBSTITUTE(J5,"Grade ","")))=1,"1 grade below",IF(B5-IF(J5="Grade K",0,VALUE(SUBSTITUTE(J5,"Grade ","")))=2,"2 grades below","3+ grades below"))))</f>
        <v/>
      </c>
      <c r="L5" s="4" t="s">
        <v>195</v>
      </c>
      <c r="M5" s="4" t="s">
        <v>196</v>
      </c>
      <c r="N5" s="4" t="s">
        <v>196</v>
      </c>
      <c r="O5" s="2"/>
    </row>
    <row r="6" customFormat="false" ht="15" hidden="false" customHeight="false" outlineLevel="0" collapsed="false">
      <c r="A6" s="5" t="str">
        <f aca="false">IFERROR(INDEX(Roster!$A$3:$A$148,MATCH(4,Roster!$D$3:$D$148,0)),"")</f>
        <v>S-006</v>
      </c>
      <c r="B6" s="5" t="n">
        <f aca="false">IFERROR(INDEX(Roster!$B$3:$B$148,MATCH(4,Roster!$D$3:$D$148,0)),"")</f>
        <v>5</v>
      </c>
      <c r="C6" s="5" t="str">
        <f aca="false">IF(A6="","",IF(ROW()-3&lt;$F$1,"Group A",IF(ROW()-3&lt;2*$F$1,"Group B","Group C")))</f>
        <v>Group A</v>
      </c>
      <c r="D6" s="4" t="s">
        <v>192</v>
      </c>
      <c r="E6" s="4" t="n">
        <v>504</v>
      </c>
      <c r="F6" s="4" t="s">
        <v>201</v>
      </c>
      <c r="G6" s="9" t="str">
        <f aca="false">IF(F6="","",IF(B6-IF(F6="Grade K",0,VALUE(SUBSTITUTE(F6,"Grade ","")))&lt;=0,"On/above grade",IF(B6-IF(F6="Grade K",0,VALUE(SUBSTITUTE(F6,"Grade ","")))=1,"1 grade below",IF(B6-IF(F6="Grade K",0,VALUE(SUBSTITUTE(F6,"Grade ","")))=2,"2 grades below","3+ grades below"))))</f>
        <v>2 grades below</v>
      </c>
      <c r="H6" s="4" t="s">
        <v>192</v>
      </c>
      <c r="I6" s="4" t="n">
        <v>537</v>
      </c>
      <c r="J6" s="4" t="s">
        <v>197</v>
      </c>
      <c r="K6" s="9" t="str">
        <f aca="false">IF(J6="","",IF(B6-IF(J6="Grade K",0,VALUE(SUBSTITUTE(J6,"Grade ","")))&lt;=0,"On/above grade",IF(B6-IF(J6="Grade K",0,VALUE(SUBSTITUTE(J6,"Grade ","")))=1,"1 grade below",IF(B6-IF(J6="Grade K",0,VALUE(SUBSTITUTE(J6,"Grade ","")))=2,"2 grades below","3+ grades below"))))</f>
        <v>On/above grade</v>
      </c>
      <c r="L6" s="4" t="s">
        <v>196</v>
      </c>
      <c r="M6" s="4" t="s">
        <v>195</v>
      </c>
      <c r="N6" s="4" t="s">
        <v>195</v>
      </c>
      <c r="O6" s="2"/>
    </row>
    <row r="7" customFormat="false" ht="15" hidden="false" customHeight="false" outlineLevel="0" collapsed="false">
      <c r="A7" s="5" t="str">
        <f aca="false">IFERROR(INDEX(Roster!$A$3:$A$148,MATCH(5,Roster!$D$3:$D$148,0)),"")</f>
        <v>S-009</v>
      </c>
      <c r="B7" s="5" t="n">
        <f aca="false">IFERROR(INDEX(Roster!$B$3:$B$148,MATCH(5,Roster!$D$3:$D$148,0)),"")</f>
        <v>5</v>
      </c>
      <c r="C7" s="5" t="str">
        <f aca="false">IF(A7="","",IF(ROW()-3&lt;$F$1,"Group A",IF(ROW()-3&lt;2*$F$1,"Group B","Group C")))</f>
        <v>Group A</v>
      </c>
      <c r="D7" s="4" t="s">
        <v>192</v>
      </c>
      <c r="E7" s="4" t="n">
        <v>536</v>
      </c>
      <c r="F7" s="4" t="s">
        <v>202</v>
      </c>
      <c r="G7" s="9" t="str">
        <f aca="false">IF(F7="","",IF(B7-IF(F7="Grade K",0,VALUE(SUBSTITUTE(F7,"Grade ","")))&lt;=0,"On/above grade",IF(B7-IF(F7="Grade K",0,VALUE(SUBSTITUTE(F7,"Grade ","")))=1,"1 grade below",IF(B7-IF(F7="Grade K",0,VALUE(SUBSTITUTE(F7,"Grade ","")))=2,"2 grades below","3+ grades below"))))</f>
        <v>1 grade below</v>
      </c>
      <c r="H7" s="4" t="s">
        <v>192</v>
      </c>
      <c r="I7" s="4" t="n">
        <v>564</v>
      </c>
      <c r="J7" s="4" t="s">
        <v>197</v>
      </c>
      <c r="K7" s="9" t="str">
        <f aca="false">IF(J7="","",IF(B7-IF(J7="Grade K",0,VALUE(SUBSTITUTE(J7,"Grade ","")))&lt;=0,"On/above grade",IF(B7-IF(J7="Grade K",0,VALUE(SUBSTITUTE(J7,"Grade ","")))=1,"1 grade below",IF(B7-IF(J7="Grade K",0,VALUE(SUBSTITUTE(J7,"Grade ","")))=2,"2 grades below","3+ grades below"))))</f>
        <v>On/above grade</v>
      </c>
      <c r="L7" s="4" t="s">
        <v>196</v>
      </c>
      <c r="M7" s="4" t="s">
        <v>195</v>
      </c>
      <c r="N7" s="4" t="s">
        <v>196</v>
      </c>
      <c r="O7" s="2"/>
    </row>
    <row r="8" customFormat="false" ht="15" hidden="false" customHeight="false" outlineLevel="0" collapsed="false">
      <c r="A8" s="5" t="str">
        <f aca="false">IFERROR(INDEX(Roster!$A$3:$A$148,MATCH(6,Roster!$D$3:$D$148,0)),"")</f>
        <v>S-011</v>
      </c>
      <c r="B8" s="5" t="n">
        <f aca="false">IFERROR(INDEX(Roster!$B$3:$B$148,MATCH(6,Roster!$D$3:$D$148,0)),"")</f>
        <v>5</v>
      </c>
      <c r="C8" s="5" t="str">
        <f aca="false">IF(A8="","",IF(ROW()-3&lt;$F$1,"Group A",IF(ROW()-3&lt;2*$F$1,"Group B","Group C")))</f>
        <v>Group A</v>
      </c>
      <c r="D8" s="4" t="s">
        <v>192</v>
      </c>
      <c r="E8" s="4" t="n">
        <v>505</v>
      </c>
      <c r="F8" s="4" t="s">
        <v>201</v>
      </c>
      <c r="G8" s="9" t="str">
        <f aca="false">IF(F8="","",IF(B8-IF(F8="Grade K",0,VALUE(SUBSTITUTE(F8,"Grade ","")))&lt;=0,"On/above grade",IF(B8-IF(F8="Grade K",0,VALUE(SUBSTITUTE(F8,"Grade ","")))=1,"1 grade below",IF(B8-IF(F8="Grade K",0,VALUE(SUBSTITUTE(F8,"Grade ","")))=2,"2 grades below","3+ grades below"))))</f>
        <v>2 grades below</v>
      </c>
      <c r="H8" s="4" t="s">
        <v>192</v>
      </c>
      <c r="I8" s="4" t="n">
        <v>569</v>
      </c>
      <c r="J8" s="4" t="s">
        <v>197</v>
      </c>
      <c r="K8" s="9" t="str">
        <f aca="false">IF(J8="","",IF(B8-IF(J8="Grade K",0,VALUE(SUBSTITUTE(J8,"Grade ","")))&lt;=0,"On/above grade",IF(B8-IF(J8="Grade K",0,VALUE(SUBSTITUTE(J8,"Grade ","")))=1,"1 grade below",IF(B8-IF(J8="Grade K",0,VALUE(SUBSTITUTE(J8,"Grade ","")))=2,"2 grades below","3+ grades below"))))</f>
        <v>On/above grade</v>
      </c>
      <c r="L8" s="4" t="s">
        <v>195</v>
      </c>
      <c r="M8" s="4" t="s">
        <v>195</v>
      </c>
      <c r="N8" s="4" t="s">
        <v>199</v>
      </c>
      <c r="O8" s="2"/>
    </row>
    <row r="9" customFormat="false" ht="15" hidden="false" customHeight="false" outlineLevel="0" collapsed="false">
      <c r="A9" s="5" t="str">
        <f aca="false">IFERROR(INDEX(Roster!$A$3:$A$148,MATCH(7,Roster!$D$3:$D$148,0)),"")</f>
        <v>S-013</v>
      </c>
      <c r="B9" s="5" t="n">
        <f aca="false">IFERROR(INDEX(Roster!$B$3:$B$148,MATCH(7,Roster!$D$3:$D$148,0)),"")</f>
        <v>5</v>
      </c>
      <c r="C9" s="5" t="str">
        <f aca="false">IF(A9="","",IF(ROW()-3&lt;$F$1,"Group A",IF(ROW()-3&lt;2*$F$1,"Group B","Group C")))</f>
        <v>Group A</v>
      </c>
      <c r="D9" s="4" t="s">
        <v>192</v>
      </c>
      <c r="E9" s="4" t="n">
        <v>565</v>
      </c>
      <c r="F9" s="4" t="s">
        <v>197</v>
      </c>
      <c r="G9" s="9" t="str">
        <f aca="false">IF(F9="","",IF(B9-IF(F9="Grade K",0,VALUE(SUBSTITUTE(F9,"Grade ","")))&lt;=0,"On/above grade",IF(B9-IF(F9="Grade K",0,VALUE(SUBSTITUTE(F9,"Grade ","")))=1,"1 grade below",IF(B9-IF(F9="Grade K",0,VALUE(SUBSTITUTE(F9,"Grade ","")))=2,"2 grades below","3+ grades below"))))</f>
        <v>On/above grade</v>
      </c>
      <c r="H9" s="4" t="s">
        <v>192</v>
      </c>
      <c r="I9" s="4" t="n">
        <v>495</v>
      </c>
      <c r="J9" s="4" t="s">
        <v>201</v>
      </c>
      <c r="K9" s="9" t="str">
        <f aca="false">IF(J9="","",IF(B9-IF(J9="Grade K",0,VALUE(SUBSTITUTE(J9,"Grade ","")))&lt;=0,"On/above grade",IF(B9-IF(J9="Grade K",0,VALUE(SUBSTITUTE(J9,"Grade ","")))=1,"1 grade below",IF(B9-IF(J9="Grade K",0,VALUE(SUBSTITUTE(J9,"Grade ","")))=2,"2 grades below","3+ grades below"))))</f>
        <v>2 grades below</v>
      </c>
      <c r="L9" s="4" t="s">
        <v>196</v>
      </c>
      <c r="M9" s="4" t="s">
        <v>196</v>
      </c>
      <c r="N9" s="4" t="s">
        <v>196</v>
      </c>
      <c r="O9" s="2"/>
    </row>
    <row r="10" customFormat="false" ht="15" hidden="false" customHeight="false" outlineLevel="0" collapsed="false">
      <c r="A10" s="5" t="str">
        <f aca="false">IFERROR(INDEX(Roster!$A$3:$A$148,MATCH(8,Roster!$D$3:$D$148,0)),"")</f>
        <v>S-017</v>
      </c>
      <c r="B10" s="5" t="n">
        <f aca="false">IFERROR(INDEX(Roster!$B$3:$B$148,MATCH(8,Roster!$D$3:$D$148,0)),"")</f>
        <v>5</v>
      </c>
      <c r="C10" s="5" t="str">
        <f aca="false">IF(A10="","",IF(ROW()-3&lt;$F$1,"Group A",IF(ROW()-3&lt;2*$F$1,"Group B","Group C")))</f>
        <v>Group A</v>
      </c>
      <c r="D10" s="4" t="s">
        <v>192</v>
      </c>
      <c r="E10" s="4" t="n">
        <v>533</v>
      </c>
      <c r="F10" s="4" t="s">
        <v>202</v>
      </c>
      <c r="G10" s="9" t="str">
        <f aca="false">IF(F10="","",IF(B10-IF(F10="Grade K",0,VALUE(SUBSTITUTE(F10,"Grade ","")))&lt;=0,"On/above grade",IF(B10-IF(F10="Grade K",0,VALUE(SUBSTITUTE(F10,"Grade ","")))=1,"1 grade below",IF(B10-IF(F10="Grade K",0,VALUE(SUBSTITUTE(F10,"Grade ","")))=2,"2 grades below","3+ grades below"))))</f>
        <v>1 grade below</v>
      </c>
      <c r="H10" s="4" t="s">
        <v>192</v>
      </c>
      <c r="I10" s="4" t="n">
        <v>405</v>
      </c>
      <c r="J10" s="4" t="s">
        <v>203</v>
      </c>
      <c r="K10" s="9" t="str">
        <f aca="false">IF(J10="","",IF(B10-IF(J10="Grade K",0,VALUE(SUBSTITUTE(J10,"Grade ","")))&lt;=0,"On/above grade",IF(B10-IF(J10="Grade K",0,VALUE(SUBSTITUTE(J10,"Grade ","")))=1,"1 grade below",IF(B10-IF(J10="Grade K",0,VALUE(SUBSTITUTE(J10,"Grade ","")))=2,"2 grades below","3+ grades below"))))</f>
        <v>3+ grades below</v>
      </c>
      <c r="L10" s="4" t="s">
        <v>196</v>
      </c>
      <c r="M10" s="4" t="s">
        <v>195</v>
      </c>
      <c r="N10" s="4" t="s">
        <v>199</v>
      </c>
      <c r="O10" s="2"/>
    </row>
    <row r="11" customFormat="false" ht="15" hidden="false" customHeight="false" outlineLevel="0" collapsed="false">
      <c r="A11" s="5" t="str">
        <f aca="false">IFERROR(INDEX(Roster!$A$3:$A$148,MATCH(9,Roster!$D$3:$D$148,0)),"")</f>
        <v>S-021</v>
      </c>
      <c r="B11" s="5" t="n">
        <f aca="false">IFERROR(INDEX(Roster!$B$3:$B$148,MATCH(9,Roster!$D$3:$D$148,0)),"")</f>
        <v>5</v>
      </c>
      <c r="C11" s="5" t="str">
        <f aca="false">IF(A11="","",IF(ROW()-3&lt;$F$1,"Group A",IF(ROW()-3&lt;2*$F$1,"Group B","Group C")))</f>
        <v>Group A</v>
      </c>
      <c r="D11" s="4" t="s">
        <v>192</v>
      </c>
      <c r="E11" s="4" t="n">
        <v>419</v>
      </c>
      <c r="F11" s="4" t="s">
        <v>203</v>
      </c>
      <c r="G11" s="9" t="str">
        <f aca="false">IF(F11="","",IF(B11-IF(F11="Grade K",0,VALUE(SUBSTITUTE(F11,"Grade ","")))&lt;=0,"On/above grade",IF(B11-IF(F11="Grade K",0,VALUE(SUBSTITUTE(F11,"Grade ","")))=1,"1 grade below",IF(B11-IF(F11="Grade K",0,VALUE(SUBSTITUTE(F11,"Grade ","")))=2,"2 grades below","3+ grades below"))))</f>
        <v>3+ grades below</v>
      </c>
      <c r="H11" s="4" t="s">
        <v>192</v>
      </c>
      <c r="I11" s="4" t="n">
        <v>540</v>
      </c>
      <c r="J11" s="4" t="s">
        <v>202</v>
      </c>
      <c r="K11" s="9" t="str">
        <f aca="false">IF(J11="","",IF(B11-IF(J11="Grade K",0,VALUE(SUBSTITUTE(J11,"Grade ","")))&lt;=0,"On/above grade",IF(B11-IF(J11="Grade K",0,VALUE(SUBSTITUTE(J11,"Grade ","")))=1,"1 grade below",IF(B11-IF(J11="Grade K",0,VALUE(SUBSTITUTE(J11,"Grade ","")))=2,"2 grades below","3+ grades below"))))</f>
        <v>1 grade below</v>
      </c>
      <c r="L11" s="4" t="s">
        <v>195</v>
      </c>
      <c r="M11" s="4" t="s">
        <v>196</v>
      </c>
      <c r="N11" s="4" t="s">
        <v>196</v>
      </c>
      <c r="O11" s="2"/>
    </row>
    <row r="12" customFormat="false" ht="15" hidden="false" customHeight="false" outlineLevel="0" collapsed="false">
      <c r="A12" s="5" t="str">
        <f aca="false">IFERROR(INDEX(Roster!$A$3:$A$148,MATCH(10,Roster!$D$3:$D$148,0)),"")</f>
        <v>S-022</v>
      </c>
      <c r="B12" s="5" t="n">
        <f aca="false">IFERROR(INDEX(Roster!$B$3:$B$148,MATCH(10,Roster!$D$3:$D$148,0)),"")</f>
        <v>5</v>
      </c>
      <c r="C12" s="5" t="str">
        <f aca="false">IF(A12="","",IF(ROW()-3&lt;$F$1,"Group A",IF(ROW()-3&lt;2*$F$1,"Group B","Group C")))</f>
        <v>Group A</v>
      </c>
      <c r="D12" s="4" t="s">
        <v>192</v>
      </c>
      <c r="E12" s="4" t="n">
        <v>521</v>
      </c>
      <c r="F12" s="4" t="s">
        <v>202</v>
      </c>
      <c r="G12" s="9" t="str">
        <f aca="false">IF(F12="","",IF(B12-IF(F12="Grade K",0,VALUE(SUBSTITUTE(F12,"Grade ","")))&lt;=0,"On/above grade",IF(B12-IF(F12="Grade K",0,VALUE(SUBSTITUTE(F12,"Grade ","")))=1,"1 grade below",IF(B12-IF(F12="Grade K",0,VALUE(SUBSTITUTE(F12,"Grade ","")))=2,"2 grades below","3+ grades below"))))</f>
        <v>1 grade below</v>
      </c>
      <c r="H12" s="4" t="s">
        <v>192</v>
      </c>
      <c r="I12" s="4" t="n">
        <v>478</v>
      </c>
      <c r="J12" s="4" t="s">
        <v>201</v>
      </c>
      <c r="K12" s="9" t="str">
        <f aca="false">IF(J12="","",IF(B12-IF(J12="Grade K",0,VALUE(SUBSTITUTE(J12,"Grade ","")))&lt;=0,"On/above grade",IF(B12-IF(J12="Grade K",0,VALUE(SUBSTITUTE(J12,"Grade ","")))=1,"1 grade below",IF(B12-IF(J12="Grade K",0,VALUE(SUBSTITUTE(J12,"Grade ","")))=2,"2 grades below","3+ grades below"))))</f>
        <v>2 grades below</v>
      </c>
      <c r="L12" s="4" t="s">
        <v>196</v>
      </c>
      <c r="M12" s="4" t="s">
        <v>195</v>
      </c>
      <c r="N12" s="4" t="s">
        <v>195</v>
      </c>
      <c r="O12" s="2"/>
    </row>
    <row r="13" customFormat="false" ht="15" hidden="false" customHeight="false" outlineLevel="0" collapsed="false">
      <c r="A13" s="5" t="str">
        <f aca="false">IFERROR(INDEX(Roster!$A$3:$A$148,MATCH(11,Roster!$D$3:$D$148,0)),"")</f>
        <v>S-024</v>
      </c>
      <c r="B13" s="5" t="n">
        <f aca="false">IFERROR(INDEX(Roster!$B$3:$B$148,MATCH(11,Roster!$D$3:$D$148,0)),"")</f>
        <v>5</v>
      </c>
      <c r="C13" s="5" t="str">
        <f aca="false">IF(A13="","",IF(ROW()-3&lt;$F$1,"Group A",IF(ROW()-3&lt;2*$F$1,"Group B","Group C")))</f>
        <v>Group A</v>
      </c>
      <c r="D13" s="4" t="s">
        <v>199</v>
      </c>
      <c r="E13" s="2"/>
      <c r="F13" s="2"/>
      <c r="G13" s="9" t="str">
        <f aca="false">IF(F13="","",IF(B13-IF(F13="Grade K",0,VALUE(SUBSTITUTE(F13,"Grade ","")))&lt;=0,"On/above grade",IF(B13-IF(F13="Grade K",0,VALUE(SUBSTITUTE(F13,"Grade ","")))=1,"1 grade below",IF(B13-IF(F13="Grade K",0,VALUE(SUBSTITUTE(F13,"Grade ","")))=2,"2 grades below","3+ grades below"))))</f>
        <v/>
      </c>
      <c r="H13" s="4" t="s">
        <v>192</v>
      </c>
      <c r="I13" s="4" t="n">
        <v>559</v>
      </c>
      <c r="J13" s="4" t="s">
        <v>197</v>
      </c>
      <c r="K13" s="9" t="str">
        <f aca="false">IF(J13="","",IF(B13-IF(J13="Grade K",0,VALUE(SUBSTITUTE(J13,"Grade ","")))&lt;=0,"On/above grade",IF(B13-IF(J13="Grade K",0,VALUE(SUBSTITUTE(J13,"Grade ","")))=1,"1 grade below",IF(B13-IF(J13="Grade K",0,VALUE(SUBSTITUTE(J13,"Grade ","")))=2,"2 grades below","3+ grades below"))))</f>
        <v>On/above grade</v>
      </c>
      <c r="L13" s="4" t="s">
        <v>199</v>
      </c>
      <c r="M13" s="4" t="s">
        <v>199</v>
      </c>
      <c r="N13" s="4" t="s">
        <v>196</v>
      </c>
      <c r="O13" s="2"/>
    </row>
    <row r="14" customFormat="false" ht="15" hidden="false" customHeight="false" outlineLevel="0" collapsed="false">
      <c r="A14" s="5" t="str">
        <f aca="false">IFERROR(INDEX(Roster!$A$3:$A$148,MATCH(12,Roster!$D$3:$D$148,0)),"")</f>
        <v>S-026</v>
      </c>
      <c r="B14" s="5" t="n">
        <f aca="false">IFERROR(INDEX(Roster!$B$3:$B$148,MATCH(12,Roster!$D$3:$D$148,0)),"")</f>
        <v>8</v>
      </c>
      <c r="C14" s="5" t="str">
        <f aca="false">IF(A14="","",IF(ROW()-3&lt;$F$1,"Group A",IF(ROW()-3&lt;2*$F$1,"Group B","Group C")))</f>
        <v>Group A</v>
      </c>
      <c r="D14" s="4" t="s">
        <v>192</v>
      </c>
      <c r="E14" s="4" t="n">
        <v>606</v>
      </c>
      <c r="F14" s="4" t="s">
        <v>200</v>
      </c>
      <c r="G14" s="9" t="str">
        <f aca="false">IF(F14="","",IF(B14-IF(F14="Grade K",0,VALUE(SUBSTITUTE(F14,"Grade ","")))&lt;=0,"On/above grade",IF(B14-IF(F14="Grade K",0,VALUE(SUBSTITUTE(F14,"Grade ","")))=1,"1 grade below",IF(B14-IF(F14="Grade K",0,VALUE(SUBSTITUTE(F14,"Grade ","")))=2,"2 grades below","3+ grades below"))))</f>
        <v>1 grade below</v>
      </c>
      <c r="H14" s="4" t="s">
        <v>192</v>
      </c>
      <c r="I14" s="4" t="n">
        <v>668</v>
      </c>
      <c r="J14" s="4" t="s">
        <v>193</v>
      </c>
      <c r="K14" s="9" t="str">
        <f aca="false">IF(J14="","",IF(B14-IF(J14="Grade K",0,VALUE(SUBSTITUTE(J14,"Grade ","")))&lt;=0,"On/above grade",IF(B14-IF(J14="Grade K",0,VALUE(SUBSTITUTE(J14,"Grade ","")))=1,"1 grade below",IF(B14-IF(J14="Grade K",0,VALUE(SUBSTITUTE(J14,"Grade ","")))=2,"2 grades below","3+ grades below"))))</f>
        <v>On/above grade</v>
      </c>
      <c r="L14" s="4" t="s">
        <v>196</v>
      </c>
      <c r="M14" s="4" t="s">
        <v>196</v>
      </c>
      <c r="N14" s="4" t="s">
        <v>196</v>
      </c>
      <c r="O14" s="2"/>
    </row>
    <row r="15" customFormat="false" ht="15" hidden="false" customHeight="false" outlineLevel="0" collapsed="false">
      <c r="A15" s="5" t="str">
        <f aca="false">IFERROR(INDEX(Roster!$A$3:$A$148,MATCH(13,Roster!$D$3:$D$148,0)),"")</f>
        <v>S-027</v>
      </c>
      <c r="B15" s="5" t="n">
        <f aca="false">IFERROR(INDEX(Roster!$B$3:$B$148,MATCH(13,Roster!$D$3:$D$148,0)),"")</f>
        <v>5</v>
      </c>
      <c r="C15" s="5" t="str">
        <f aca="false">IF(A15="","",IF(ROW()-3&lt;$F$1,"Group A",IF(ROW()-3&lt;2*$F$1,"Group B","Group C")))</f>
        <v>Group A</v>
      </c>
      <c r="D15" s="4" t="s">
        <v>199</v>
      </c>
      <c r="E15" s="2"/>
      <c r="F15" s="2"/>
      <c r="G15" s="9" t="str">
        <f aca="false">IF(F15="","",IF(B15-IF(F15="Grade K",0,VALUE(SUBSTITUTE(F15,"Grade ","")))&lt;=0,"On/above grade",IF(B15-IF(F15="Grade K",0,VALUE(SUBSTITUTE(F15,"Grade ","")))=1,"1 grade below",IF(B15-IF(F15="Grade K",0,VALUE(SUBSTITUTE(F15,"Grade ","")))=2,"2 grades below","3+ grades below"))))</f>
        <v/>
      </c>
      <c r="H15" s="4" t="s">
        <v>192</v>
      </c>
      <c r="I15" s="4" t="n">
        <v>457</v>
      </c>
      <c r="J15" s="4" t="s">
        <v>198</v>
      </c>
      <c r="K15" s="9" t="str">
        <f aca="false">IF(J15="","",IF(B15-IF(J15="Grade K",0,VALUE(SUBSTITUTE(J15,"Grade ","")))&lt;=0,"On/above grade",IF(B15-IF(J15="Grade K",0,VALUE(SUBSTITUTE(J15,"Grade ","")))=1,"1 grade below",IF(B15-IF(J15="Grade K",0,VALUE(SUBSTITUTE(J15,"Grade ","")))=2,"2 grades below","3+ grades below"))))</f>
        <v>3+ grades below</v>
      </c>
      <c r="L15" s="4" t="s">
        <v>195</v>
      </c>
      <c r="M15" s="4" t="s">
        <v>196</v>
      </c>
      <c r="N15" s="4" t="s">
        <v>196</v>
      </c>
      <c r="O15" s="2"/>
    </row>
    <row r="16" customFormat="false" ht="15" hidden="false" customHeight="false" outlineLevel="0" collapsed="false">
      <c r="A16" s="5" t="str">
        <f aca="false">IFERROR(INDEX(Roster!$A$3:$A$148,MATCH(14,Roster!$D$3:$D$148,0)),"")</f>
        <v>S-028</v>
      </c>
      <c r="B16" s="5" t="n">
        <f aca="false">IFERROR(INDEX(Roster!$B$3:$B$148,MATCH(14,Roster!$D$3:$D$148,0)),"")</f>
        <v>8</v>
      </c>
      <c r="C16" s="5" t="str">
        <f aca="false">IF(A16="","",IF(ROW()-3&lt;$F$1,"Group A",IF(ROW()-3&lt;2*$F$1,"Group B","Group C")))</f>
        <v>Group A</v>
      </c>
      <c r="D16" s="4" t="s">
        <v>192</v>
      </c>
      <c r="E16" s="4" t="n">
        <v>649</v>
      </c>
      <c r="F16" s="4" t="s">
        <v>193</v>
      </c>
      <c r="G16" s="9" t="str">
        <f aca="false">IF(F16="","",IF(B16-IF(F16="Grade K",0,VALUE(SUBSTITUTE(F16,"Grade ","")))&lt;=0,"On/above grade",IF(B16-IF(F16="Grade K",0,VALUE(SUBSTITUTE(F16,"Grade ","")))=1,"1 grade below",IF(B16-IF(F16="Grade K",0,VALUE(SUBSTITUTE(F16,"Grade ","")))=2,"2 grades below","3+ grades below"))))</f>
        <v>On/above grade</v>
      </c>
      <c r="H16" s="4" t="s">
        <v>199</v>
      </c>
      <c r="I16" s="2"/>
      <c r="J16" s="2"/>
      <c r="K16" s="9" t="str">
        <f aca="false">IF(J16="","",IF(B16-IF(J16="Grade K",0,VALUE(SUBSTITUTE(J16,"Grade ","")))&lt;=0,"On/above grade",IF(B16-IF(J16="Grade K",0,VALUE(SUBSTITUTE(J16,"Grade ","")))=1,"1 grade below",IF(B16-IF(J16="Grade K",0,VALUE(SUBSTITUTE(J16,"Grade ","")))=2,"2 grades below","3+ grades below"))))</f>
        <v/>
      </c>
      <c r="L16" s="4" t="s">
        <v>199</v>
      </c>
      <c r="M16" s="4" t="s">
        <v>196</v>
      </c>
      <c r="N16" s="4" t="s">
        <v>195</v>
      </c>
      <c r="O16" s="2"/>
    </row>
    <row r="17" customFormat="false" ht="15" hidden="false" customHeight="false" outlineLevel="0" collapsed="false">
      <c r="A17" s="5" t="str">
        <f aca="false">IFERROR(INDEX(Roster!$A$3:$A$148,MATCH(15,Roster!$D$3:$D$148,0)),"")</f>
        <v>S-031</v>
      </c>
      <c r="B17" s="5" t="n">
        <f aca="false">IFERROR(INDEX(Roster!$B$3:$B$148,MATCH(15,Roster!$D$3:$D$148,0)),"")</f>
        <v>5</v>
      </c>
      <c r="C17" s="5" t="str">
        <f aca="false">IF(A17="","",IF(ROW()-3&lt;$F$1,"Group A",IF(ROW()-3&lt;2*$F$1,"Group B","Group C")))</f>
        <v>Group A</v>
      </c>
      <c r="D17" s="4" t="s">
        <v>192</v>
      </c>
      <c r="E17" s="4" t="n">
        <v>467</v>
      </c>
      <c r="F17" s="4" t="s">
        <v>198</v>
      </c>
      <c r="G17" s="9" t="str">
        <f aca="false">IF(F17="","",IF(B17-IF(F17="Grade K",0,VALUE(SUBSTITUTE(F17,"Grade ","")))&lt;=0,"On/above grade",IF(B17-IF(F17="Grade K",0,VALUE(SUBSTITUTE(F17,"Grade ","")))=1,"1 grade below",IF(B17-IF(F17="Grade K",0,VALUE(SUBSTITUTE(F17,"Grade ","")))=2,"2 grades below","3+ grades below"))))</f>
        <v>3+ grades below</v>
      </c>
      <c r="H17" s="4" t="s">
        <v>199</v>
      </c>
      <c r="I17" s="2"/>
      <c r="J17" s="2"/>
      <c r="K17" s="9" t="str">
        <f aca="false">IF(J17="","",IF(B17-IF(J17="Grade K",0,VALUE(SUBSTITUTE(J17,"Grade ","")))&lt;=0,"On/above grade",IF(B17-IF(J17="Grade K",0,VALUE(SUBSTITUTE(J17,"Grade ","")))=1,"1 grade below",IF(B17-IF(J17="Grade K",0,VALUE(SUBSTITUTE(J17,"Grade ","")))=2,"2 grades below","3+ grades below"))))</f>
        <v/>
      </c>
      <c r="L17" s="4" t="s">
        <v>196</v>
      </c>
      <c r="M17" s="4" t="s">
        <v>196</v>
      </c>
      <c r="N17" s="4" t="s">
        <v>196</v>
      </c>
      <c r="O17" s="2"/>
    </row>
    <row r="18" customFormat="false" ht="15" hidden="false" customHeight="false" outlineLevel="0" collapsed="false">
      <c r="A18" s="5" t="str">
        <f aca="false">IFERROR(INDEX(Roster!$A$3:$A$148,MATCH(16,Roster!$D$3:$D$148,0)),"")</f>
        <v>S-034</v>
      </c>
      <c r="B18" s="5" t="n">
        <f aca="false">IFERROR(INDEX(Roster!$B$3:$B$148,MATCH(16,Roster!$D$3:$D$148,0)),"")</f>
        <v>5</v>
      </c>
      <c r="C18" s="5" t="str">
        <f aca="false">IF(A18="","",IF(ROW()-3&lt;$F$1,"Group A",IF(ROW()-3&lt;2*$F$1,"Group B","Group C")))</f>
        <v>Group A</v>
      </c>
      <c r="D18" s="4" t="s">
        <v>192</v>
      </c>
      <c r="E18" s="4" t="n">
        <v>505</v>
      </c>
      <c r="F18" s="4" t="s">
        <v>201</v>
      </c>
      <c r="G18" s="9" t="str">
        <f aca="false">IF(F18="","",IF(B18-IF(F18="Grade K",0,VALUE(SUBSTITUTE(F18,"Grade ","")))&lt;=0,"On/above grade",IF(B18-IF(F18="Grade K",0,VALUE(SUBSTITUTE(F18,"Grade ","")))=1,"1 grade below",IF(B18-IF(F18="Grade K",0,VALUE(SUBSTITUTE(F18,"Grade ","")))=2,"2 grades below","3+ grades below"))))</f>
        <v>2 grades below</v>
      </c>
      <c r="H18" s="4" t="s">
        <v>192</v>
      </c>
      <c r="I18" s="4" t="n">
        <v>535</v>
      </c>
      <c r="J18" s="4" t="s">
        <v>202</v>
      </c>
      <c r="K18" s="9" t="str">
        <f aca="false">IF(J18="","",IF(B18-IF(J18="Grade K",0,VALUE(SUBSTITUTE(J18,"Grade ","")))&lt;=0,"On/above grade",IF(B18-IF(J18="Grade K",0,VALUE(SUBSTITUTE(J18,"Grade ","")))=1,"1 grade below",IF(B18-IF(J18="Grade K",0,VALUE(SUBSTITUTE(J18,"Grade ","")))=2,"2 grades below","3+ grades below"))))</f>
        <v>1 grade below</v>
      </c>
      <c r="L18" s="4" t="s">
        <v>196</v>
      </c>
      <c r="M18" s="4" t="s">
        <v>195</v>
      </c>
      <c r="N18" s="4" t="s">
        <v>199</v>
      </c>
      <c r="O18" s="2"/>
    </row>
    <row r="19" customFormat="false" ht="15" hidden="false" customHeight="false" outlineLevel="0" collapsed="false">
      <c r="A19" s="5" t="str">
        <f aca="false">IFERROR(INDEX(Roster!$A$3:$A$148,MATCH(17,Roster!$D$3:$D$148,0)),"")</f>
        <v>S-035</v>
      </c>
      <c r="B19" s="5" t="n">
        <f aca="false">IFERROR(INDEX(Roster!$B$3:$B$148,MATCH(17,Roster!$D$3:$D$148,0)),"")</f>
        <v>5</v>
      </c>
      <c r="C19" s="5" t="str">
        <f aca="false">IF(A19="","",IF(ROW()-3&lt;$F$1,"Group A",IF(ROW()-3&lt;2*$F$1,"Group B","Group C")))</f>
        <v>Group A</v>
      </c>
      <c r="D19" s="4" t="s">
        <v>204</v>
      </c>
      <c r="E19" s="2"/>
      <c r="F19" s="2"/>
      <c r="G19" s="9" t="str">
        <f aca="false">IF(F19="","",IF(B19-IF(F19="Grade K",0,VALUE(SUBSTITUTE(F19,"Grade ","")))&lt;=0,"On/above grade",IF(B19-IF(F19="Grade K",0,VALUE(SUBSTITUTE(F19,"Grade ","")))=1,"1 grade below",IF(B19-IF(F19="Grade K",0,VALUE(SUBSTITUTE(F19,"Grade ","")))=2,"2 grades below","3+ grades below"))))</f>
        <v/>
      </c>
      <c r="H19" s="4" t="s">
        <v>192</v>
      </c>
      <c r="I19" s="4" t="n">
        <v>509</v>
      </c>
      <c r="J19" s="4" t="s">
        <v>202</v>
      </c>
      <c r="K19" s="9" t="str">
        <f aca="false">IF(J19="","",IF(B19-IF(J19="Grade K",0,VALUE(SUBSTITUTE(J19,"Grade ","")))&lt;=0,"On/above grade",IF(B19-IF(J19="Grade K",0,VALUE(SUBSTITUTE(J19,"Grade ","")))=1,"1 grade below",IF(B19-IF(J19="Grade K",0,VALUE(SUBSTITUTE(J19,"Grade ","")))=2,"2 grades below","3+ grades below"))))</f>
        <v>1 grade below</v>
      </c>
      <c r="L19" s="4" t="s">
        <v>199</v>
      </c>
      <c r="M19" s="4" t="s">
        <v>196</v>
      </c>
      <c r="N19" s="4" t="s">
        <v>196</v>
      </c>
      <c r="O19" s="2"/>
    </row>
    <row r="20" customFormat="false" ht="15" hidden="false" customHeight="false" outlineLevel="0" collapsed="false">
      <c r="A20" s="5" t="str">
        <f aca="false">IFERROR(INDEX(Roster!$A$3:$A$148,MATCH(18,Roster!$D$3:$D$148,0)),"")</f>
        <v>S-039</v>
      </c>
      <c r="B20" s="5" t="n">
        <f aca="false">IFERROR(INDEX(Roster!$B$3:$B$148,MATCH(18,Roster!$D$3:$D$148,0)),"")</f>
        <v>8</v>
      </c>
      <c r="C20" s="5" t="str">
        <f aca="false">IF(A20="","",IF(ROW()-3&lt;$F$1,"Group A",IF(ROW()-3&lt;2*$F$1,"Group B","Group C")))</f>
        <v>Group A</v>
      </c>
      <c r="D20" s="4" t="s">
        <v>192</v>
      </c>
      <c r="E20" s="4" t="n">
        <v>637</v>
      </c>
      <c r="F20" s="4" t="s">
        <v>200</v>
      </c>
      <c r="G20" s="9" t="str">
        <f aca="false">IF(F20="","",IF(B20-IF(F20="Grade K",0,VALUE(SUBSTITUTE(F20,"Grade ","")))&lt;=0,"On/above grade",IF(B20-IF(F20="Grade K",0,VALUE(SUBSTITUTE(F20,"Grade ","")))=1,"1 grade below",IF(B20-IF(F20="Grade K",0,VALUE(SUBSTITUTE(F20,"Grade ","")))=2,"2 grades below","3+ grades below"))))</f>
        <v>1 grade below</v>
      </c>
      <c r="H20" s="4" t="s">
        <v>192</v>
      </c>
      <c r="I20" s="4" t="n">
        <v>639</v>
      </c>
      <c r="J20" s="4" t="s">
        <v>200</v>
      </c>
      <c r="K20" s="9" t="str">
        <f aca="false">IF(J20="","",IF(B20-IF(J20="Grade K",0,VALUE(SUBSTITUTE(J20,"Grade ","")))&lt;=0,"On/above grade",IF(B20-IF(J20="Grade K",0,VALUE(SUBSTITUTE(J20,"Grade ","")))=1,"1 grade below",IF(B20-IF(J20="Grade K",0,VALUE(SUBSTITUTE(J20,"Grade ","")))=2,"2 grades below","3+ grades below"))))</f>
        <v>1 grade below</v>
      </c>
      <c r="L20" s="4" t="s">
        <v>199</v>
      </c>
      <c r="M20" s="4" t="s">
        <v>196</v>
      </c>
      <c r="N20" s="4" t="s">
        <v>196</v>
      </c>
      <c r="O20" s="2"/>
    </row>
    <row r="21" customFormat="false" ht="15" hidden="false" customHeight="false" outlineLevel="0" collapsed="false">
      <c r="A21" s="5" t="str">
        <f aca="false">IFERROR(INDEX(Roster!$A$3:$A$148,MATCH(19,Roster!$D$3:$D$148,0)),"")</f>
        <v>S-042</v>
      </c>
      <c r="B21" s="5" t="n">
        <f aca="false">IFERROR(INDEX(Roster!$B$3:$B$148,MATCH(19,Roster!$D$3:$D$148,0)),"")</f>
        <v>5</v>
      </c>
      <c r="C21" s="5" t="str">
        <f aca="false">IF(A21="","",IF(ROW()-3&lt;$F$1,"Group A",IF(ROW()-3&lt;2*$F$1,"Group B","Group C")))</f>
        <v>Group A</v>
      </c>
      <c r="D21" s="4" t="s">
        <v>192</v>
      </c>
      <c r="E21" s="4" t="n">
        <v>531</v>
      </c>
      <c r="F21" s="4" t="s">
        <v>202</v>
      </c>
      <c r="G21" s="9" t="str">
        <f aca="false">IF(F21="","",IF(B21-IF(F21="Grade K",0,VALUE(SUBSTITUTE(F21,"Grade ","")))&lt;=0,"On/above grade",IF(B21-IF(F21="Grade K",0,VALUE(SUBSTITUTE(F21,"Grade ","")))=1,"1 grade below",IF(B21-IF(F21="Grade K",0,VALUE(SUBSTITUTE(F21,"Grade ","")))=2,"2 grades below","3+ grades below"))))</f>
        <v>1 grade below</v>
      </c>
      <c r="H21" s="4" t="s">
        <v>192</v>
      </c>
      <c r="I21" s="4" t="n">
        <v>569</v>
      </c>
      <c r="J21" s="4" t="s">
        <v>197</v>
      </c>
      <c r="K21" s="9" t="str">
        <f aca="false">IF(J21="","",IF(B21-IF(J21="Grade K",0,VALUE(SUBSTITUTE(J21,"Grade ","")))&lt;=0,"On/above grade",IF(B21-IF(J21="Grade K",0,VALUE(SUBSTITUTE(J21,"Grade ","")))=1,"1 grade below",IF(B21-IF(J21="Grade K",0,VALUE(SUBSTITUTE(J21,"Grade ","")))=2,"2 grades below","3+ grades below"))))</f>
        <v>On/above grade</v>
      </c>
      <c r="L21" s="4" t="s">
        <v>196</v>
      </c>
      <c r="M21" s="4" t="s">
        <v>199</v>
      </c>
      <c r="N21" s="4" t="s">
        <v>195</v>
      </c>
      <c r="O21" s="2"/>
    </row>
    <row r="22" customFormat="false" ht="15" hidden="false" customHeight="false" outlineLevel="0" collapsed="false">
      <c r="A22" s="5" t="str">
        <f aca="false">IFERROR(INDEX(Roster!$A$3:$A$148,MATCH(20,Roster!$D$3:$D$148,0)),"")</f>
        <v>S-043</v>
      </c>
      <c r="B22" s="5" t="n">
        <f aca="false">IFERROR(INDEX(Roster!$B$3:$B$148,MATCH(20,Roster!$D$3:$D$148,0)),"")</f>
        <v>5</v>
      </c>
      <c r="C22" s="5" t="str">
        <f aca="false">IF(A22="","",IF(ROW()-3&lt;$F$1,"Group A",IF(ROW()-3&lt;2*$F$1,"Group B","Group C")))</f>
        <v>Group A</v>
      </c>
      <c r="D22" s="4" t="s">
        <v>192</v>
      </c>
      <c r="E22" s="4" t="n">
        <v>566</v>
      </c>
      <c r="F22" s="4" t="s">
        <v>197</v>
      </c>
      <c r="G22" s="9" t="str">
        <f aca="false">IF(F22="","",IF(B22-IF(F22="Grade K",0,VALUE(SUBSTITUTE(F22,"Grade ","")))&lt;=0,"On/above grade",IF(B22-IF(F22="Grade K",0,VALUE(SUBSTITUTE(F22,"Grade ","")))=1,"1 grade below",IF(B22-IF(F22="Grade K",0,VALUE(SUBSTITUTE(F22,"Grade ","")))=2,"2 grades below","3+ grades below"))))</f>
        <v>On/above grade</v>
      </c>
      <c r="H22" s="4" t="s">
        <v>192</v>
      </c>
      <c r="I22" s="4" t="n">
        <v>530</v>
      </c>
      <c r="J22" s="4" t="s">
        <v>202</v>
      </c>
      <c r="K22" s="9" t="str">
        <f aca="false">IF(J22="","",IF(B22-IF(J22="Grade K",0,VALUE(SUBSTITUTE(J22,"Grade ","")))&lt;=0,"On/above grade",IF(B22-IF(J22="Grade K",0,VALUE(SUBSTITUTE(J22,"Grade ","")))=1,"1 grade below",IF(B22-IF(J22="Grade K",0,VALUE(SUBSTITUTE(J22,"Grade ","")))=2,"2 grades below","3+ grades below"))))</f>
        <v>1 grade below</v>
      </c>
      <c r="L22" s="4" t="s">
        <v>196</v>
      </c>
      <c r="M22" s="4" t="s">
        <v>196</v>
      </c>
      <c r="N22" s="4" t="s">
        <v>196</v>
      </c>
      <c r="O22" s="2"/>
    </row>
    <row r="23" customFormat="false" ht="15" hidden="false" customHeight="false" outlineLevel="0" collapsed="false">
      <c r="A23" s="5" t="str">
        <f aca="false">IFERROR(INDEX(Roster!$A$3:$A$148,MATCH(21,Roster!$D$3:$D$148,0)),"")</f>
        <v>S-044</v>
      </c>
      <c r="B23" s="5" t="n">
        <f aca="false">IFERROR(INDEX(Roster!$B$3:$B$148,MATCH(21,Roster!$D$3:$D$148,0)),"")</f>
        <v>5</v>
      </c>
      <c r="C23" s="5" t="str">
        <f aca="false">IF(A23="","",IF(ROW()-3&lt;$F$1,"Group A",IF(ROW()-3&lt;2*$F$1,"Group B","Group C")))</f>
        <v>Group A</v>
      </c>
      <c r="D23" s="4" t="s">
        <v>192</v>
      </c>
      <c r="E23" s="4" t="n">
        <v>536</v>
      </c>
      <c r="F23" s="4" t="s">
        <v>197</v>
      </c>
      <c r="G23" s="9" t="str">
        <f aca="false">IF(F23="","",IF(B23-IF(F23="Grade K",0,VALUE(SUBSTITUTE(F23,"Grade ","")))&lt;=0,"On/above grade",IF(B23-IF(F23="Grade K",0,VALUE(SUBSTITUTE(F23,"Grade ","")))=1,"1 grade below",IF(B23-IF(F23="Grade K",0,VALUE(SUBSTITUTE(F23,"Grade ","")))=2,"2 grades below","3+ grades below"))))</f>
        <v>On/above grade</v>
      </c>
      <c r="H23" s="4" t="s">
        <v>192</v>
      </c>
      <c r="I23" s="4" t="n">
        <v>535</v>
      </c>
      <c r="J23" s="4" t="s">
        <v>197</v>
      </c>
      <c r="K23" s="9" t="str">
        <f aca="false">IF(J23="","",IF(B23-IF(J23="Grade K",0,VALUE(SUBSTITUTE(J23,"Grade ","")))&lt;=0,"On/above grade",IF(B23-IF(J23="Grade K",0,VALUE(SUBSTITUTE(J23,"Grade ","")))=1,"1 grade below",IF(B23-IF(J23="Grade K",0,VALUE(SUBSTITUTE(J23,"Grade ","")))=2,"2 grades below","3+ grades below"))))</f>
        <v>On/above grade</v>
      </c>
      <c r="L23" s="4" t="s">
        <v>195</v>
      </c>
      <c r="M23" s="4" t="s">
        <v>196</v>
      </c>
      <c r="N23" s="4" t="s">
        <v>196</v>
      </c>
      <c r="O23" s="2"/>
    </row>
    <row r="24" customFormat="false" ht="15" hidden="false" customHeight="false" outlineLevel="0" collapsed="false">
      <c r="A24" s="5" t="str">
        <f aca="false">IFERROR(INDEX(Roster!$A$3:$A$148,MATCH(22,Roster!$D$3:$D$148,0)),"")</f>
        <v>S-046</v>
      </c>
      <c r="B24" s="5" t="n">
        <f aca="false">IFERROR(INDEX(Roster!$B$3:$B$148,MATCH(22,Roster!$D$3:$D$148,0)),"")</f>
        <v>5</v>
      </c>
      <c r="C24" s="5" t="str">
        <f aca="false">IF(A24="","",IF(ROW()-3&lt;$F$1,"Group A",IF(ROW()-3&lt;2*$F$1,"Group B","Group C")))</f>
        <v>Group A</v>
      </c>
      <c r="D24" s="4" t="s">
        <v>192</v>
      </c>
      <c r="E24" s="4" t="n">
        <v>572</v>
      </c>
      <c r="F24" s="4" t="s">
        <v>197</v>
      </c>
      <c r="G24" s="9" t="str">
        <f aca="false">IF(F24="","",IF(B24-IF(F24="Grade K",0,VALUE(SUBSTITUTE(F24,"Grade ","")))&lt;=0,"On/above grade",IF(B24-IF(F24="Grade K",0,VALUE(SUBSTITUTE(F24,"Grade ","")))=1,"1 grade below",IF(B24-IF(F24="Grade K",0,VALUE(SUBSTITUTE(F24,"Grade ","")))=2,"2 grades below","3+ grades below"))))</f>
        <v>On/above grade</v>
      </c>
      <c r="H24" s="4" t="s">
        <v>192</v>
      </c>
      <c r="I24" s="4" t="n">
        <v>516</v>
      </c>
      <c r="J24" s="4" t="s">
        <v>202</v>
      </c>
      <c r="K24" s="9" t="str">
        <f aca="false">IF(J24="","",IF(B24-IF(J24="Grade K",0,VALUE(SUBSTITUTE(J24,"Grade ","")))&lt;=0,"On/above grade",IF(B24-IF(J24="Grade K",0,VALUE(SUBSTITUTE(J24,"Grade ","")))=1,"1 grade below",IF(B24-IF(J24="Grade K",0,VALUE(SUBSTITUTE(J24,"Grade ","")))=2,"2 grades below","3+ grades below"))))</f>
        <v>1 grade below</v>
      </c>
      <c r="L24" s="4" t="s">
        <v>195</v>
      </c>
      <c r="M24" s="4" t="s">
        <v>195</v>
      </c>
      <c r="N24" s="4" t="s">
        <v>195</v>
      </c>
      <c r="O24" s="2"/>
    </row>
    <row r="25" customFormat="false" ht="15" hidden="false" customHeight="false" outlineLevel="0" collapsed="false">
      <c r="A25" s="5" t="str">
        <f aca="false">IFERROR(INDEX(Roster!$A$3:$A$148,MATCH(23,Roster!$D$3:$D$148,0)),"")</f>
        <v>S-047</v>
      </c>
      <c r="B25" s="5" t="n">
        <f aca="false">IFERROR(INDEX(Roster!$B$3:$B$148,MATCH(23,Roster!$D$3:$D$148,0)),"")</f>
        <v>5</v>
      </c>
      <c r="C25" s="5" t="str">
        <f aca="false">IF(A25="","",IF(ROW()-3&lt;$F$1,"Group A",IF(ROW()-3&lt;2*$F$1,"Group B","Group C")))</f>
        <v>Group A</v>
      </c>
      <c r="D25" s="4" t="s">
        <v>192</v>
      </c>
      <c r="E25" s="4" t="n">
        <v>498</v>
      </c>
      <c r="F25" s="4" t="s">
        <v>201</v>
      </c>
      <c r="G25" s="9" t="str">
        <f aca="false">IF(F25="","",IF(B25-IF(F25="Grade K",0,VALUE(SUBSTITUTE(F25,"Grade ","")))&lt;=0,"On/above grade",IF(B25-IF(F25="Grade K",0,VALUE(SUBSTITUTE(F25,"Grade ","")))=1,"1 grade below",IF(B25-IF(F25="Grade K",0,VALUE(SUBSTITUTE(F25,"Grade ","")))=2,"2 grades below","3+ grades below"))))</f>
        <v>2 grades below</v>
      </c>
      <c r="H25" s="4" t="s">
        <v>192</v>
      </c>
      <c r="I25" s="4" t="n">
        <v>540</v>
      </c>
      <c r="J25" s="4" t="s">
        <v>202</v>
      </c>
      <c r="K25" s="9" t="str">
        <f aca="false">IF(J25="","",IF(B25-IF(J25="Grade K",0,VALUE(SUBSTITUTE(J25,"Grade ","")))&lt;=0,"On/above grade",IF(B25-IF(J25="Grade K",0,VALUE(SUBSTITUTE(J25,"Grade ","")))=1,"1 grade below",IF(B25-IF(J25="Grade K",0,VALUE(SUBSTITUTE(J25,"Grade ","")))=2,"2 grades below","3+ grades below"))))</f>
        <v>1 grade below</v>
      </c>
      <c r="L25" s="4" t="s">
        <v>196</v>
      </c>
      <c r="M25" s="4" t="s">
        <v>196</v>
      </c>
      <c r="N25" s="4" t="s">
        <v>196</v>
      </c>
      <c r="O25" s="2"/>
    </row>
    <row r="26" customFormat="false" ht="15" hidden="false" customHeight="false" outlineLevel="0" collapsed="false">
      <c r="A26" s="5" t="str">
        <f aca="false">IFERROR(INDEX(Roster!$A$3:$A$148,MATCH(24,Roster!$D$3:$D$148,0)),"")</f>
        <v>S-051</v>
      </c>
      <c r="B26" s="5" t="n">
        <f aca="false">IFERROR(INDEX(Roster!$B$3:$B$148,MATCH(24,Roster!$D$3:$D$148,0)),"")</f>
        <v>5</v>
      </c>
      <c r="C26" s="5" t="str">
        <f aca="false">IF(A26="","",IF(ROW()-3&lt;$F$1,"Group A",IF(ROW()-3&lt;2*$F$1,"Group B","Group C")))</f>
        <v>Group A</v>
      </c>
      <c r="D26" s="4" t="s">
        <v>192</v>
      </c>
      <c r="E26" s="4" t="n">
        <v>473</v>
      </c>
      <c r="F26" s="4" t="s">
        <v>201</v>
      </c>
      <c r="G26" s="9" t="str">
        <f aca="false">IF(F26="","",IF(B26-IF(F26="Grade K",0,VALUE(SUBSTITUTE(F26,"Grade ","")))&lt;=0,"On/above grade",IF(B26-IF(F26="Grade K",0,VALUE(SUBSTITUTE(F26,"Grade ","")))=1,"1 grade below",IF(B26-IF(F26="Grade K",0,VALUE(SUBSTITUTE(F26,"Grade ","")))=2,"2 grades below","3+ grades below"))))</f>
        <v>2 grades below</v>
      </c>
      <c r="H26" s="4" t="s">
        <v>192</v>
      </c>
      <c r="I26" s="4" t="n">
        <v>487</v>
      </c>
      <c r="J26" s="4" t="s">
        <v>201</v>
      </c>
      <c r="K26" s="9" t="str">
        <f aca="false">IF(J26="","",IF(B26-IF(J26="Grade K",0,VALUE(SUBSTITUTE(J26,"Grade ","")))&lt;=0,"On/above grade",IF(B26-IF(J26="Grade K",0,VALUE(SUBSTITUTE(J26,"Grade ","")))=1,"1 grade below",IF(B26-IF(J26="Grade K",0,VALUE(SUBSTITUTE(J26,"Grade ","")))=2,"2 grades below","3+ grades below"))))</f>
        <v>2 grades below</v>
      </c>
      <c r="L26" s="4" t="s">
        <v>199</v>
      </c>
      <c r="M26" s="4" t="s">
        <v>196</v>
      </c>
      <c r="N26" s="4" t="s">
        <v>196</v>
      </c>
      <c r="O26" s="2"/>
    </row>
    <row r="27" customFormat="false" ht="15" hidden="false" customHeight="false" outlineLevel="0" collapsed="false">
      <c r="A27" s="5" t="str">
        <f aca="false">IFERROR(INDEX(Roster!$A$3:$A$148,MATCH(25,Roster!$D$3:$D$148,0)),"")</f>
        <v>S-054</v>
      </c>
      <c r="B27" s="5" t="n">
        <f aca="false">IFERROR(INDEX(Roster!$B$3:$B$148,MATCH(25,Roster!$D$3:$D$148,0)),"")</f>
        <v>5</v>
      </c>
      <c r="C27" s="5" t="str">
        <f aca="false">IF(A27="","",IF(ROW()-3&lt;$F$1,"Group A",IF(ROW()-3&lt;2*$F$1,"Group B","Group C")))</f>
        <v>Group A</v>
      </c>
      <c r="D27" s="4" t="s">
        <v>199</v>
      </c>
      <c r="E27" s="2"/>
      <c r="F27" s="2"/>
      <c r="G27" s="9" t="str">
        <f aca="false">IF(F27="","",IF(B27-IF(F27="Grade K",0,VALUE(SUBSTITUTE(F27,"Grade ","")))&lt;=0,"On/above grade",IF(B27-IF(F27="Grade K",0,VALUE(SUBSTITUTE(F27,"Grade ","")))=1,"1 grade below",IF(B27-IF(F27="Grade K",0,VALUE(SUBSTITUTE(F27,"Grade ","")))=2,"2 grades below","3+ grades below"))))</f>
        <v/>
      </c>
      <c r="H27" s="4" t="s">
        <v>192</v>
      </c>
      <c r="I27" s="4" t="n">
        <v>401</v>
      </c>
      <c r="J27" s="4" t="s">
        <v>203</v>
      </c>
      <c r="K27" s="9" t="str">
        <f aca="false">IF(J27="","",IF(B27-IF(J27="Grade K",0,VALUE(SUBSTITUTE(J27,"Grade ","")))&lt;=0,"On/above grade",IF(B27-IF(J27="Grade K",0,VALUE(SUBSTITUTE(J27,"Grade ","")))=1,"1 grade below",IF(B27-IF(J27="Grade K",0,VALUE(SUBSTITUTE(J27,"Grade ","")))=2,"2 grades below","3+ grades below"))))</f>
        <v>3+ grades below</v>
      </c>
      <c r="L27" s="4" t="s">
        <v>196</v>
      </c>
      <c r="M27" s="4" t="s">
        <v>196</v>
      </c>
      <c r="N27" s="4" t="s">
        <v>195</v>
      </c>
      <c r="O27" s="2"/>
    </row>
    <row r="28" customFormat="false" ht="15" hidden="false" customHeight="false" outlineLevel="0" collapsed="false">
      <c r="A28" s="5" t="str">
        <f aca="false">IFERROR(INDEX(Roster!$A$3:$A$148,MATCH(26,Roster!$D$3:$D$148,0)),"")</f>
        <v>S-055</v>
      </c>
      <c r="B28" s="5" t="n">
        <f aca="false">IFERROR(INDEX(Roster!$B$3:$B$148,MATCH(26,Roster!$D$3:$D$148,0)),"")</f>
        <v>5</v>
      </c>
      <c r="C28" s="5" t="str">
        <f aca="false">IF(A28="","",IF(ROW()-3&lt;$F$1,"Group A",IF(ROW()-3&lt;2*$F$1,"Group B","Group C")))</f>
        <v>Group B</v>
      </c>
      <c r="D28" s="4" t="s">
        <v>192</v>
      </c>
      <c r="E28" s="4" t="n">
        <v>561</v>
      </c>
      <c r="F28" s="4" t="s">
        <v>197</v>
      </c>
      <c r="G28" s="9" t="str">
        <f aca="false">IF(F28="","",IF(B28-IF(F28="Grade K",0,VALUE(SUBSTITUTE(F28,"Grade ","")))&lt;=0,"On/above grade",IF(B28-IF(F28="Grade K",0,VALUE(SUBSTITUTE(F28,"Grade ","")))=1,"1 grade below",IF(B28-IF(F28="Grade K",0,VALUE(SUBSTITUTE(F28,"Grade ","")))=2,"2 grades below","3+ grades below"))))</f>
        <v>On/above grade</v>
      </c>
      <c r="H28" s="4" t="s">
        <v>192</v>
      </c>
      <c r="I28" s="4" t="n">
        <v>477</v>
      </c>
      <c r="J28" s="4" t="s">
        <v>201</v>
      </c>
      <c r="K28" s="9" t="str">
        <f aca="false">IF(J28="","",IF(B28-IF(J28="Grade K",0,VALUE(SUBSTITUTE(J28,"Grade ","")))&lt;=0,"On/above grade",IF(B28-IF(J28="Grade K",0,VALUE(SUBSTITUTE(J28,"Grade ","")))=1,"1 grade below",IF(B28-IF(J28="Grade K",0,VALUE(SUBSTITUTE(J28,"Grade ","")))=2,"2 grades below","3+ grades below"))))</f>
        <v>2 grades below</v>
      </c>
      <c r="L28" s="4" t="s">
        <v>196</v>
      </c>
      <c r="M28" s="4" t="s">
        <v>195</v>
      </c>
      <c r="N28" s="4" t="s">
        <v>196</v>
      </c>
      <c r="O28" s="2"/>
    </row>
    <row r="29" customFormat="false" ht="15" hidden="false" customHeight="false" outlineLevel="0" collapsed="false">
      <c r="A29" s="5" t="str">
        <f aca="false">IFERROR(INDEX(Roster!$A$3:$A$148,MATCH(27,Roster!$D$3:$D$148,0)),"")</f>
        <v>S-056</v>
      </c>
      <c r="B29" s="5" t="n">
        <f aca="false">IFERROR(INDEX(Roster!$B$3:$B$148,MATCH(27,Roster!$D$3:$D$148,0)),"")</f>
        <v>8</v>
      </c>
      <c r="C29" s="5" t="str">
        <f aca="false">IF(A29="","",IF(ROW()-3&lt;$F$1,"Group A",IF(ROW()-3&lt;2*$F$1,"Group B","Group C")))</f>
        <v>Group B</v>
      </c>
      <c r="D29" s="4" t="s">
        <v>192</v>
      </c>
      <c r="E29" s="4" t="n">
        <v>593</v>
      </c>
      <c r="F29" s="4" t="s">
        <v>194</v>
      </c>
      <c r="G29" s="9" t="str">
        <f aca="false">IF(F29="","",IF(B29-IF(F29="Grade K",0,VALUE(SUBSTITUTE(F29,"Grade ","")))&lt;=0,"On/above grade",IF(B29-IF(F29="Grade K",0,VALUE(SUBSTITUTE(F29,"Grade ","")))=1,"1 grade below",IF(B29-IF(F29="Grade K",0,VALUE(SUBSTITUTE(F29,"Grade ","")))=2,"2 grades below","3+ grades below"))))</f>
        <v>2 grades below</v>
      </c>
      <c r="H29" s="4" t="s">
        <v>192</v>
      </c>
      <c r="I29" s="4" t="n">
        <v>626</v>
      </c>
      <c r="J29" s="4" t="s">
        <v>200</v>
      </c>
      <c r="K29" s="9" t="str">
        <f aca="false">IF(J29="","",IF(B29-IF(J29="Grade K",0,VALUE(SUBSTITUTE(J29,"Grade ","")))&lt;=0,"On/above grade",IF(B29-IF(J29="Grade K",0,VALUE(SUBSTITUTE(J29,"Grade ","")))=1,"1 grade below",IF(B29-IF(J29="Grade K",0,VALUE(SUBSTITUTE(J29,"Grade ","")))=2,"2 grades below","3+ grades below"))))</f>
        <v>1 grade below</v>
      </c>
      <c r="L29" s="4" t="s">
        <v>196</v>
      </c>
      <c r="M29" s="4" t="s">
        <v>195</v>
      </c>
      <c r="N29" s="4" t="s">
        <v>196</v>
      </c>
      <c r="O29" s="2"/>
    </row>
    <row r="30" customFormat="false" ht="15" hidden="false" customHeight="false" outlineLevel="0" collapsed="false">
      <c r="A30" s="5" t="str">
        <f aca="false">IFERROR(INDEX(Roster!$A$3:$A$148,MATCH(28,Roster!$D$3:$D$148,0)),"")</f>
        <v>S-057</v>
      </c>
      <c r="B30" s="5" t="n">
        <f aca="false">IFERROR(INDEX(Roster!$B$3:$B$148,MATCH(28,Roster!$D$3:$D$148,0)),"")</f>
        <v>8</v>
      </c>
      <c r="C30" s="5" t="str">
        <f aca="false">IF(A30="","",IF(ROW()-3&lt;$F$1,"Group A",IF(ROW()-3&lt;2*$F$1,"Group B","Group C")))</f>
        <v>Group B</v>
      </c>
      <c r="D30" s="4" t="s">
        <v>192</v>
      </c>
      <c r="E30" s="4" t="n">
        <v>642</v>
      </c>
      <c r="F30" s="4" t="s">
        <v>193</v>
      </c>
      <c r="G30" s="9" t="str">
        <f aca="false">IF(F30="","",IF(B30-IF(F30="Grade K",0,VALUE(SUBSTITUTE(F30,"Grade ","")))&lt;=0,"On/above grade",IF(B30-IF(F30="Grade K",0,VALUE(SUBSTITUTE(F30,"Grade ","")))=1,"1 grade below",IF(B30-IF(F30="Grade K",0,VALUE(SUBSTITUTE(F30,"Grade ","")))=2,"2 grades below","3+ grades below"))))</f>
        <v>On/above grade</v>
      </c>
      <c r="H30" s="4" t="s">
        <v>192</v>
      </c>
      <c r="I30" s="4" t="n">
        <v>606</v>
      </c>
      <c r="J30" s="4" t="s">
        <v>194</v>
      </c>
      <c r="K30" s="9" t="str">
        <f aca="false">IF(J30="","",IF(B30-IF(J30="Grade K",0,VALUE(SUBSTITUTE(J30,"Grade ","")))&lt;=0,"On/above grade",IF(B30-IF(J30="Grade K",0,VALUE(SUBSTITUTE(J30,"Grade ","")))=1,"1 grade below",IF(B30-IF(J30="Grade K",0,VALUE(SUBSTITUTE(J30,"Grade ","")))=2,"2 grades below","3+ grades below"))))</f>
        <v>2 grades below</v>
      </c>
      <c r="L30" s="4" t="s">
        <v>196</v>
      </c>
      <c r="M30" s="4" t="s">
        <v>196</v>
      </c>
      <c r="N30" s="4" t="s">
        <v>196</v>
      </c>
      <c r="O30" s="2"/>
    </row>
    <row r="31" customFormat="false" ht="15" hidden="false" customHeight="false" outlineLevel="0" collapsed="false">
      <c r="A31" s="5" t="str">
        <f aca="false">IFERROR(INDEX(Roster!$A$3:$A$148,MATCH(29,Roster!$D$3:$D$148,0)),"")</f>
        <v>S-062</v>
      </c>
      <c r="B31" s="5" t="n">
        <f aca="false">IFERROR(INDEX(Roster!$B$3:$B$148,MATCH(29,Roster!$D$3:$D$148,0)),"")</f>
        <v>8</v>
      </c>
      <c r="C31" s="5" t="str">
        <f aca="false">IF(A31="","",IF(ROW()-3&lt;$F$1,"Group A",IF(ROW()-3&lt;2*$F$1,"Group B","Group C")))</f>
        <v>Group B</v>
      </c>
      <c r="D31" s="4" t="s">
        <v>192</v>
      </c>
      <c r="E31" s="4" t="n">
        <v>658</v>
      </c>
      <c r="F31" s="4" t="s">
        <v>193</v>
      </c>
      <c r="G31" s="9" t="str">
        <f aca="false">IF(F31="","",IF(B31-IF(F31="Grade K",0,VALUE(SUBSTITUTE(F31,"Grade ","")))&lt;=0,"On/above grade",IF(B31-IF(F31="Grade K",0,VALUE(SUBSTITUTE(F31,"Grade ","")))=1,"1 grade below",IF(B31-IF(F31="Grade K",0,VALUE(SUBSTITUTE(F31,"Grade ","")))=2,"2 grades below","3+ grades below"))))</f>
        <v>On/above grade</v>
      </c>
      <c r="H31" s="4" t="s">
        <v>199</v>
      </c>
      <c r="I31" s="2"/>
      <c r="J31" s="2"/>
      <c r="K31" s="9" t="str">
        <f aca="false">IF(J31="","",IF(B31-IF(J31="Grade K",0,VALUE(SUBSTITUTE(J31,"Grade ","")))&lt;=0,"On/above grade",IF(B31-IF(J31="Grade K",0,VALUE(SUBSTITUTE(J31,"Grade ","")))=1,"1 grade below",IF(B31-IF(J31="Grade K",0,VALUE(SUBSTITUTE(J31,"Grade ","")))=2,"2 grades below","3+ grades below"))))</f>
        <v/>
      </c>
      <c r="L31" s="4" t="s">
        <v>196</v>
      </c>
      <c r="M31" s="4" t="s">
        <v>196</v>
      </c>
      <c r="N31" s="4" t="s">
        <v>199</v>
      </c>
      <c r="O31" s="2"/>
    </row>
    <row r="32" customFormat="false" ht="15" hidden="false" customHeight="false" outlineLevel="0" collapsed="false">
      <c r="A32" s="5" t="str">
        <f aca="false">IFERROR(INDEX(Roster!$A$3:$A$148,MATCH(30,Roster!$D$3:$D$148,0)),"")</f>
        <v>S-064</v>
      </c>
      <c r="B32" s="5" t="n">
        <f aca="false">IFERROR(INDEX(Roster!$B$3:$B$148,MATCH(30,Roster!$D$3:$D$148,0)),"")</f>
        <v>8</v>
      </c>
      <c r="C32" s="5" t="str">
        <f aca="false">IF(A32="","",IF(ROW()-3&lt;$F$1,"Group A",IF(ROW()-3&lt;2*$F$1,"Group B","Group C")))</f>
        <v>Group B</v>
      </c>
      <c r="D32" s="4" t="s">
        <v>192</v>
      </c>
      <c r="E32" s="4" t="n">
        <v>590</v>
      </c>
      <c r="F32" s="4" t="s">
        <v>194</v>
      </c>
      <c r="G32" s="9" t="str">
        <f aca="false">IF(F32="","",IF(B32-IF(F32="Grade K",0,VALUE(SUBSTITUTE(F32,"Grade ","")))&lt;=0,"On/above grade",IF(B32-IF(F32="Grade K",0,VALUE(SUBSTITUTE(F32,"Grade ","")))=1,"1 grade below",IF(B32-IF(F32="Grade K",0,VALUE(SUBSTITUTE(F32,"Grade ","")))=2,"2 grades below","3+ grades below"))))</f>
        <v>2 grades below</v>
      </c>
      <c r="H32" s="4" t="s">
        <v>192</v>
      </c>
      <c r="I32" s="4" t="n">
        <v>627</v>
      </c>
      <c r="J32" s="4" t="s">
        <v>200</v>
      </c>
      <c r="K32" s="9" t="str">
        <f aca="false">IF(J32="","",IF(B32-IF(J32="Grade K",0,VALUE(SUBSTITUTE(J32,"Grade ","")))&lt;=0,"On/above grade",IF(B32-IF(J32="Grade K",0,VALUE(SUBSTITUTE(J32,"Grade ","")))=1,"1 grade below",IF(B32-IF(J32="Grade K",0,VALUE(SUBSTITUTE(J32,"Grade ","")))=2,"2 grades below","3+ grades below"))))</f>
        <v>1 grade below</v>
      </c>
      <c r="L32" s="4" t="s">
        <v>196</v>
      </c>
      <c r="M32" s="4" t="s">
        <v>195</v>
      </c>
      <c r="N32" s="4" t="s">
        <v>196</v>
      </c>
      <c r="O32" s="2"/>
    </row>
    <row r="33" customFormat="false" ht="15" hidden="false" customHeight="false" outlineLevel="0" collapsed="false">
      <c r="A33" s="5" t="str">
        <f aca="false">IFERROR(INDEX(Roster!$A$3:$A$148,MATCH(31,Roster!$D$3:$D$148,0)),"")</f>
        <v>S-065</v>
      </c>
      <c r="B33" s="5" t="n">
        <f aca="false">IFERROR(INDEX(Roster!$B$3:$B$148,MATCH(31,Roster!$D$3:$D$148,0)),"")</f>
        <v>8</v>
      </c>
      <c r="C33" s="5" t="str">
        <f aca="false">IF(A33="","",IF(ROW()-3&lt;$F$1,"Group A",IF(ROW()-3&lt;2*$F$1,"Group B","Group C")))</f>
        <v>Group B</v>
      </c>
      <c r="D33" s="4" t="s">
        <v>192</v>
      </c>
      <c r="E33" s="4" t="n">
        <v>546</v>
      </c>
      <c r="F33" s="4" t="s">
        <v>197</v>
      </c>
      <c r="G33" s="9" t="str">
        <f aca="false">IF(F33="","",IF(B33-IF(F33="Grade K",0,VALUE(SUBSTITUTE(F33,"Grade ","")))&lt;=0,"On/above grade",IF(B33-IF(F33="Grade K",0,VALUE(SUBSTITUTE(F33,"Grade ","")))=1,"1 grade below",IF(B33-IF(F33="Grade K",0,VALUE(SUBSTITUTE(F33,"Grade ","")))=2,"2 grades below","3+ grades below"))))</f>
        <v>3+ grades below</v>
      </c>
      <c r="H33" s="4" t="s">
        <v>192</v>
      </c>
      <c r="I33" s="4" t="n">
        <v>628</v>
      </c>
      <c r="J33" s="4" t="s">
        <v>200</v>
      </c>
      <c r="K33" s="9" t="str">
        <f aca="false">IF(J33="","",IF(B33-IF(J33="Grade K",0,VALUE(SUBSTITUTE(J33,"Grade ","")))&lt;=0,"On/above grade",IF(B33-IF(J33="Grade K",0,VALUE(SUBSTITUTE(J33,"Grade ","")))=1,"1 grade below",IF(B33-IF(J33="Grade K",0,VALUE(SUBSTITUTE(J33,"Grade ","")))=2,"2 grades below","3+ grades below"))))</f>
        <v>1 grade below</v>
      </c>
      <c r="L33" s="4" t="s">
        <v>196</v>
      </c>
      <c r="M33" s="4" t="s">
        <v>196</v>
      </c>
      <c r="N33" s="4" t="s">
        <v>196</v>
      </c>
      <c r="O33" s="2"/>
    </row>
    <row r="34" customFormat="false" ht="15" hidden="false" customHeight="false" outlineLevel="0" collapsed="false">
      <c r="A34" s="5" t="str">
        <f aca="false">IFERROR(INDEX(Roster!$A$3:$A$148,MATCH(32,Roster!$D$3:$D$148,0)),"")</f>
        <v>S-066</v>
      </c>
      <c r="B34" s="5" t="n">
        <f aca="false">IFERROR(INDEX(Roster!$B$3:$B$148,MATCH(32,Roster!$D$3:$D$148,0)),"")</f>
        <v>5</v>
      </c>
      <c r="C34" s="5" t="str">
        <f aca="false">IF(A34="","",IF(ROW()-3&lt;$F$1,"Group A",IF(ROW()-3&lt;2*$F$1,"Group B","Group C")))</f>
        <v>Group B</v>
      </c>
      <c r="D34" s="4" t="s">
        <v>192</v>
      </c>
      <c r="E34" s="4" t="n">
        <v>540</v>
      </c>
      <c r="F34" s="4" t="s">
        <v>197</v>
      </c>
      <c r="G34" s="9" t="str">
        <f aca="false">IF(F34="","",IF(B34-IF(F34="Grade K",0,VALUE(SUBSTITUTE(F34,"Grade ","")))&lt;=0,"On/above grade",IF(B34-IF(F34="Grade K",0,VALUE(SUBSTITUTE(F34,"Grade ","")))=1,"1 grade below",IF(B34-IF(F34="Grade K",0,VALUE(SUBSTITUTE(F34,"Grade ","")))=2,"2 grades below","3+ grades below"))))</f>
        <v>On/above grade</v>
      </c>
      <c r="H34" s="4" t="s">
        <v>192</v>
      </c>
      <c r="I34" s="4" t="n">
        <v>505</v>
      </c>
      <c r="J34" s="4" t="s">
        <v>201</v>
      </c>
      <c r="K34" s="9" t="str">
        <f aca="false">IF(J34="","",IF(B34-IF(J34="Grade K",0,VALUE(SUBSTITUTE(J34,"Grade ","")))&lt;=0,"On/above grade",IF(B34-IF(J34="Grade K",0,VALUE(SUBSTITUTE(J34,"Grade ","")))=1,"1 grade below",IF(B34-IF(J34="Grade K",0,VALUE(SUBSTITUTE(J34,"Grade ","")))=2,"2 grades below","3+ grades below"))))</f>
        <v>2 grades below</v>
      </c>
      <c r="L34" s="4" t="s">
        <v>199</v>
      </c>
      <c r="M34" s="4" t="s">
        <v>196</v>
      </c>
      <c r="N34" s="4" t="s">
        <v>196</v>
      </c>
      <c r="O34" s="2"/>
    </row>
    <row r="35" customFormat="false" ht="15" hidden="false" customHeight="false" outlineLevel="0" collapsed="false">
      <c r="A35" s="5" t="str">
        <f aca="false">IFERROR(INDEX(Roster!$A$3:$A$148,MATCH(33,Roster!$D$3:$D$148,0)),"")</f>
        <v>S-067</v>
      </c>
      <c r="B35" s="5" t="n">
        <f aca="false">IFERROR(INDEX(Roster!$B$3:$B$148,MATCH(33,Roster!$D$3:$D$148,0)),"")</f>
        <v>8</v>
      </c>
      <c r="C35" s="5" t="str">
        <f aca="false">IF(A35="","",IF(ROW()-3&lt;$F$1,"Group A",IF(ROW()-3&lt;2*$F$1,"Group B","Group C")))</f>
        <v>Group B</v>
      </c>
      <c r="D35" s="4" t="s">
        <v>192</v>
      </c>
      <c r="E35" s="4" t="n">
        <v>621</v>
      </c>
      <c r="F35" s="4" t="s">
        <v>200</v>
      </c>
      <c r="G35" s="9" t="str">
        <f aca="false">IF(F35="","",IF(B35-IF(F35="Grade K",0,VALUE(SUBSTITUTE(F35,"Grade ","")))&lt;=0,"On/above grade",IF(B35-IF(F35="Grade K",0,VALUE(SUBSTITUTE(F35,"Grade ","")))=1,"1 grade below",IF(B35-IF(F35="Grade K",0,VALUE(SUBSTITUTE(F35,"Grade ","")))=2,"2 grades below","3+ grades below"))))</f>
        <v>1 grade below</v>
      </c>
      <c r="H35" s="4" t="s">
        <v>192</v>
      </c>
      <c r="I35" s="4" t="n">
        <v>650</v>
      </c>
      <c r="J35" s="4" t="s">
        <v>193</v>
      </c>
      <c r="K35" s="9" t="str">
        <f aca="false">IF(J35="","",IF(B35-IF(J35="Grade K",0,VALUE(SUBSTITUTE(J35,"Grade ","")))&lt;=0,"On/above grade",IF(B35-IF(J35="Grade K",0,VALUE(SUBSTITUTE(J35,"Grade ","")))=1,"1 grade below",IF(B35-IF(J35="Grade K",0,VALUE(SUBSTITUTE(J35,"Grade ","")))=2,"2 grades below","3+ grades below"))))</f>
        <v>On/above grade</v>
      </c>
      <c r="L35" s="4" t="s">
        <v>195</v>
      </c>
      <c r="M35" s="4" t="s">
        <v>196</v>
      </c>
      <c r="N35" s="4" t="s">
        <v>195</v>
      </c>
      <c r="O35" s="2"/>
    </row>
    <row r="36" customFormat="false" ht="15" hidden="false" customHeight="false" outlineLevel="0" collapsed="false">
      <c r="A36" s="5" t="str">
        <f aca="false">IFERROR(INDEX(Roster!$A$3:$A$148,MATCH(34,Roster!$D$3:$D$148,0)),"")</f>
        <v>S-068</v>
      </c>
      <c r="B36" s="5" t="n">
        <f aca="false">IFERROR(INDEX(Roster!$B$3:$B$148,MATCH(34,Roster!$D$3:$D$148,0)),"")</f>
        <v>5</v>
      </c>
      <c r="C36" s="5" t="str">
        <f aca="false">IF(A36="","",IF(ROW()-3&lt;$F$1,"Group A",IF(ROW()-3&lt;2*$F$1,"Group B","Group C")))</f>
        <v>Group B</v>
      </c>
      <c r="D36" s="4" t="s">
        <v>204</v>
      </c>
      <c r="E36" s="2"/>
      <c r="F36" s="2"/>
      <c r="G36" s="9" t="str">
        <f aca="false">IF(F36="","",IF(B36-IF(F36="Grade K",0,VALUE(SUBSTITUTE(F36,"Grade ","")))&lt;=0,"On/above grade",IF(B36-IF(F36="Grade K",0,VALUE(SUBSTITUTE(F36,"Grade ","")))=1,"1 grade below",IF(B36-IF(F36="Grade K",0,VALUE(SUBSTITUTE(F36,"Grade ","")))=2,"2 grades below","3+ grades below"))))</f>
        <v/>
      </c>
      <c r="H36" s="4" t="s">
        <v>192</v>
      </c>
      <c r="I36" s="4" t="n">
        <v>476</v>
      </c>
      <c r="J36" s="4" t="s">
        <v>201</v>
      </c>
      <c r="K36" s="9" t="str">
        <f aca="false">IF(J36="","",IF(B36-IF(J36="Grade K",0,VALUE(SUBSTITUTE(J36,"Grade ","")))&lt;=0,"On/above grade",IF(B36-IF(J36="Grade K",0,VALUE(SUBSTITUTE(J36,"Grade ","")))=1,"1 grade below",IF(B36-IF(J36="Grade K",0,VALUE(SUBSTITUTE(J36,"Grade ","")))=2,"2 grades below","3+ grades below"))))</f>
        <v>2 grades below</v>
      </c>
      <c r="L36" s="4" t="s">
        <v>196</v>
      </c>
      <c r="M36" s="4" t="s">
        <v>195</v>
      </c>
      <c r="N36" s="4" t="s">
        <v>196</v>
      </c>
      <c r="O36" s="2"/>
    </row>
    <row r="37" customFormat="false" ht="15" hidden="false" customHeight="false" outlineLevel="0" collapsed="false">
      <c r="A37" s="5" t="str">
        <f aca="false">IFERROR(INDEX(Roster!$A$3:$A$148,MATCH(35,Roster!$D$3:$D$148,0)),"")</f>
        <v>S-070</v>
      </c>
      <c r="B37" s="5" t="n">
        <f aca="false">IFERROR(INDEX(Roster!$B$3:$B$148,MATCH(35,Roster!$D$3:$D$148,0)),"")</f>
        <v>8</v>
      </c>
      <c r="C37" s="5" t="str">
        <f aca="false">IF(A37="","",IF(ROW()-3&lt;$F$1,"Group A",IF(ROW()-3&lt;2*$F$1,"Group B","Group C")))</f>
        <v>Group B</v>
      </c>
      <c r="D37" s="4" t="s">
        <v>192</v>
      </c>
      <c r="E37" s="4" t="n">
        <v>605</v>
      </c>
      <c r="F37" s="4" t="s">
        <v>200</v>
      </c>
      <c r="G37" s="9" t="str">
        <f aca="false">IF(F37="","",IF(B37-IF(F37="Grade K",0,VALUE(SUBSTITUTE(F37,"Grade ","")))&lt;=0,"On/above grade",IF(B37-IF(F37="Grade K",0,VALUE(SUBSTITUTE(F37,"Grade ","")))=1,"1 grade below",IF(B37-IF(F37="Grade K",0,VALUE(SUBSTITUTE(F37,"Grade ","")))=2,"2 grades below","3+ grades below"))))</f>
        <v>1 grade below</v>
      </c>
      <c r="H37" s="4" t="s">
        <v>204</v>
      </c>
      <c r="I37" s="2"/>
      <c r="J37" s="2"/>
      <c r="K37" s="9" t="str">
        <f aca="false">IF(J37="","",IF(B37-IF(J37="Grade K",0,VALUE(SUBSTITUTE(J37,"Grade ","")))&lt;=0,"On/above grade",IF(B37-IF(J37="Grade K",0,VALUE(SUBSTITUTE(J37,"Grade ","")))=1,"1 grade below",IF(B37-IF(J37="Grade K",0,VALUE(SUBSTITUTE(J37,"Grade ","")))=2,"2 grades below","3+ grades below"))))</f>
        <v/>
      </c>
      <c r="L37" s="4" t="s">
        <v>199</v>
      </c>
      <c r="M37" s="4" t="s">
        <v>199</v>
      </c>
      <c r="N37" s="4" t="s">
        <v>196</v>
      </c>
      <c r="O37" s="2"/>
    </row>
    <row r="38" customFormat="false" ht="15" hidden="false" customHeight="false" outlineLevel="0" collapsed="false">
      <c r="A38" s="5" t="str">
        <f aca="false">IFERROR(INDEX(Roster!$A$3:$A$148,MATCH(36,Roster!$D$3:$D$148,0)),"")</f>
        <v>S-071</v>
      </c>
      <c r="B38" s="5" t="n">
        <f aca="false">IFERROR(INDEX(Roster!$B$3:$B$148,MATCH(36,Roster!$D$3:$D$148,0)),"")</f>
        <v>5</v>
      </c>
      <c r="C38" s="5" t="str">
        <f aca="false">IF(A38="","",IF(ROW()-3&lt;$F$1,"Group A",IF(ROW()-3&lt;2*$F$1,"Group B","Group C")))</f>
        <v>Group B</v>
      </c>
      <c r="D38" s="4" t="s">
        <v>192</v>
      </c>
      <c r="E38" s="4" t="n">
        <v>414</v>
      </c>
      <c r="F38" s="4" t="s">
        <v>203</v>
      </c>
      <c r="G38" s="9" t="str">
        <f aca="false">IF(F38="","",IF(B38-IF(F38="Grade K",0,VALUE(SUBSTITUTE(F38,"Grade ","")))&lt;=0,"On/above grade",IF(B38-IF(F38="Grade K",0,VALUE(SUBSTITUTE(F38,"Grade ","")))=1,"1 grade below",IF(B38-IF(F38="Grade K",0,VALUE(SUBSTITUTE(F38,"Grade ","")))=2,"2 grades below","3+ grades below"))))</f>
        <v>3+ grades below</v>
      </c>
      <c r="H38" s="4" t="s">
        <v>192</v>
      </c>
      <c r="I38" s="4" t="n">
        <v>501</v>
      </c>
      <c r="J38" s="4" t="s">
        <v>201</v>
      </c>
      <c r="K38" s="9" t="str">
        <f aca="false">IF(J38="","",IF(B38-IF(J38="Grade K",0,VALUE(SUBSTITUTE(J38,"Grade ","")))&lt;=0,"On/above grade",IF(B38-IF(J38="Grade K",0,VALUE(SUBSTITUTE(J38,"Grade ","")))=1,"1 grade below",IF(B38-IF(J38="Grade K",0,VALUE(SUBSTITUTE(J38,"Grade ","")))=2,"2 grades below","3+ grades below"))))</f>
        <v>2 grades below</v>
      </c>
      <c r="L38" s="4" t="s">
        <v>196</v>
      </c>
      <c r="M38" s="4" t="s">
        <v>196</v>
      </c>
      <c r="N38" s="4" t="s">
        <v>196</v>
      </c>
      <c r="O38" s="2"/>
    </row>
    <row r="39" customFormat="false" ht="15" hidden="false" customHeight="false" outlineLevel="0" collapsed="false">
      <c r="A39" s="5" t="str">
        <f aca="false">IFERROR(INDEX(Roster!$A$3:$A$148,MATCH(37,Roster!$D$3:$D$148,0)),"")</f>
        <v>S-072</v>
      </c>
      <c r="B39" s="5" t="n">
        <f aca="false">IFERROR(INDEX(Roster!$B$3:$B$148,MATCH(37,Roster!$D$3:$D$148,0)),"")</f>
        <v>5</v>
      </c>
      <c r="C39" s="5" t="str">
        <f aca="false">IF(A39="","",IF(ROW()-3&lt;$F$1,"Group A",IF(ROW()-3&lt;2*$F$1,"Group B","Group C")))</f>
        <v>Group B</v>
      </c>
      <c r="D39" s="4" t="s">
        <v>192</v>
      </c>
      <c r="E39" s="4" t="n">
        <v>542</v>
      </c>
      <c r="F39" s="4" t="s">
        <v>197</v>
      </c>
      <c r="G39" s="9" t="str">
        <f aca="false">IF(F39="","",IF(B39-IF(F39="Grade K",0,VALUE(SUBSTITUTE(F39,"Grade ","")))&lt;=0,"On/above grade",IF(B39-IF(F39="Grade K",0,VALUE(SUBSTITUTE(F39,"Grade ","")))=1,"1 grade below",IF(B39-IF(F39="Grade K",0,VALUE(SUBSTITUTE(F39,"Grade ","")))=2,"2 grades below","3+ grades below"))))</f>
        <v>On/above grade</v>
      </c>
      <c r="H39" s="4" t="s">
        <v>192</v>
      </c>
      <c r="I39" s="4" t="n">
        <v>396</v>
      </c>
      <c r="J39" s="4" t="s">
        <v>203</v>
      </c>
      <c r="K39" s="9" t="str">
        <f aca="false">IF(J39="","",IF(B39-IF(J39="Grade K",0,VALUE(SUBSTITUTE(J39,"Grade ","")))&lt;=0,"On/above grade",IF(B39-IF(J39="Grade K",0,VALUE(SUBSTITUTE(J39,"Grade ","")))=1,"1 grade below",IF(B39-IF(J39="Grade K",0,VALUE(SUBSTITUTE(J39,"Grade ","")))=2,"2 grades below","3+ grades below"))))</f>
        <v>3+ grades below</v>
      </c>
      <c r="L39" s="4" t="s">
        <v>196</v>
      </c>
      <c r="M39" s="4" t="s">
        <v>196</v>
      </c>
      <c r="N39" s="4" t="s">
        <v>196</v>
      </c>
      <c r="O39" s="2"/>
    </row>
    <row r="40" customFormat="false" ht="15" hidden="false" customHeight="false" outlineLevel="0" collapsed="false">
      <c r="A40" s="5" t="str">
        <f aca="false">IFERROR(INDEX(Roster!$A$3:$A$148,MATCH(38,Roster!$D$3:$D$148,0)),"")</f>
        <v>S-074</v>
      </c>
      <c r="B40" s="5" t="n">
        <f aca="false">IFERROR(INDEX(Roster!$B$3:$B$148,MATCH(38,Roster!$D$3:$D$148,0)),"")</f>
        <v>5</v>
      </c>
      <c r="C40" s="5" t="str">
        <f aca="false">IF(A40="","",IF(ROW()-3&lt;$F$1,"Group A",IF(ROW()-3&lt;2*$F$1,"Group B","Group C")))</f>
        <v>Group B</v>
      </c>
      <c r="D40" s="4" t="s">
        <v>192</v>
      </c>
      <c r="E40" s="4" t="n">
        <v>512</v>
      </c>
      <c r="F40" s="4" t="s">
        <v>202</v>
      </c>
      <c r="G40" s="9" t="str">
        <f aca="false">IF(F40="","",IF(B40-IF(F40="Grade K",0,VALUE(SUBSTITUTE(F40,"Grade ","")))&lt;=0,"On/above grade",IF(B40-IF(F40="Grade K",0,VALUE(SUBSTITUTE(F40,"Grade ","")))=1,"1 grade below",IF(B40-IF(F40="Grade K",0,VALUE(SUBSTITUTE(F40,"Grade ","")))=2,"2 grades below","3+ grades below"))))</f>
        <v>1 grade below</v>
      </c>
      <c r="H40" s="4" t="s">
        <v>192</v>
      </c>
      <c r="I40" s="4" t="n">
        <v>551</v>
      </c>
      <c r="J40" s="4" t="s">
        <v>197</v>
      </c>
      <c r="K40" s="9" t="str">
        <f aca="false">IF(J40="","",IF(B40-IF(J40="Grade K",0,VALUE(SUBSTITUTE(J40,"Grade ","")))&lt;=0,"On/above grade",IF(B40-IF(J40="Grade K",0,VALUE(SUBSTITUTE(J40,"Grade ","")))=1,"1 grade below",IF(B40-IF(J40="Grade K",0,VALUE(SUBSTITUTE(J40,"Grade ","")))=2,"2 grades below","3+ grades below"))))</f>
        <v>On/above grade</v>
      </c>
      <c r="L40" s="4" t="s">
        <v>196</v>
      </c>
      <c r="M40" s="4" t="s">
        <v>199</v>
      </c>
      <c r="N40" s="4" t="s">
        <v>196</v>
      </c>
      <c r="O40" s="2"/>
    </row>
    <row r="41" customFormat="false" ht="15" hidden="false" customHeight="false" outlineLevel="0" collapsed="false">
      <c r="A41" s="5" t="str">
        <f aca="false">IFERROR(INDEX(Roster!$A$3:$A$148,MATCH(39,Roster!$D$3:$D$148,0)),"")</f>
        <v>S-075</v>
      </c>
      <c r="B41" s="5" t="n">
        <f aca="false">IFERROR(INDEX(Roster!$B$3:$B$148,MATCH(39,Roster!$D$3:$D$148,0)),"")</f>
        <v>8</v>
      </c>
      <c r="C41" s="5" t="str">
        <f aca="false">IF(A41="","",IF(ROW()-3&lt;$F$1,"Group A",IF(ROW()-3&lt;2*$F$1,"Group B","Group C")))</f>
        <v>Group B</v>
      </c>
      <c r="D41" s="4" t="s">
        <v>192</v>
      </c>
      <c r="E41" s="4" t="n">
        <v>536</v>
      </c>
      <c r="F41" s="4" t="s">
        <v>202</v>
      </c>
      <c r="G41" s="9" t="str">
        <f aca="false">IF(F41="","",IF(B41-IF(F41="Grade K",0,VALUE(SUBSTITUTE(F41,"Grade ","")))&lt;=0,"On/above grade",IF(B41-IF(F41="Grade K",0,VALUE(SUBSTITUTE(F41,"Grade ","")))=1,"1 grade below",IF(B41-IF(F41="Grade K",0,VALUE(SUBSTITUTE(F41,"Grade ","")))=2,"2 grades below","3+ grades below"))))</f>
        <v>3+ grades below</v>
      </c>
      <c r="H41" s="4" t="s">
        <v>192</v>
      </c>
      <c r="I41" s="4" t="n">
        <v>668</v>
      </c>
      <c r="J41" s="4" t="s">
        <v>193</v>
      </c>
      <c r="K41" s="9" t="str">
        <f aca="false">IF(J41="","",IF(B41-IF(J41="Grade K",0,VALUE(SUBSTITUTE(J41,"Grade ","")))&lt;=0,"On/above grade",IF(B41-IF(J41="Grade K",0,VALUE(SUBSTITUTE(J41,"Grade ","")))=1,"1 grade below",IF(B41-IF(J41="Grade K",0,VALUE(SUBSTITUTE(J41,"Grade ","")))=2,"2 grades below","3+ grades below"))))</f>
        <v>On/above grade</v>
      </c>
      <c r="L41" s="4" t="s">
        <v>195</v>
      </c>
      <c r="M41" s="4" t="s">
        <v>196</v>
      </c>
      <c r="N41" s="4" t="s">
        <v>196</v>
      </c>
      <c r="O41" s="2"/>
    </row>
    <row r="42" customFormat="false" ht="15" hidden="false" customHeight="false" outlineLevel="0" collapsed="false">
      <c r="A42" s="5" t="str">
        <f aca="false">IFERROR(INDEX(Roster!$A$3:$A$148,MATCH(40,Roster!$D$3:$D$148,0)),"")</f>
        <v>S-076</v>
      </c>
      <c r="B42" s="5" t="n">
        <f aca="false">IFERROR(INDEX(Roster!$B$3:$B$148,MATCH(40,Roster!$D$3:$D$148,0)),"")</f>
        <v>5</v>
      </c>
      <c r="C42" s="5" t="str">
        <f aca="false">IF(A42="","",IF(ROW()-3&lt;$F$1,"Group A",IF(ROW()-3&lt;2*$F$1,"Group B","Group C")))</f>
        <v>Group B</v>
      </c>
      <c r="D42" s="4" t="s">
        <v>192</v>
      </c>
      <c r="E42" s="4" t="n">
        <v>545</v>
      </c>
      <c r="F42" s="4" t="s">
        <v>197</v>
      </c>
      <c r="G42" s="9" t="str">
        <f aca="false">IF(F42="","",IF(B42-IF(F42="Grade K",0,VALUE(SUBSTITUTE(F42,"Grade ","")))&lt;=0,"On/above grade",IF(B42-IF(F42="Grade K",0,VALUE(SUBSTITUTE(F42,"Grade ","")))=1,"1 grade below",IF(B42-IF(F42="Grade K",0,VALUE(SUBSTITUTE(F42,"Grade ","")))=2,"2 grades below","3+ grades below"))))</f>
        <v>On/above grade</v>
      </c>
      <c r="H42" s="4" t="s">
        <v>192</v>
      </c>
      <c r="I42" s="4" t="n">
        <v>426</v>
      </c>
      <c r="J42" s="4" t="s">
        <v>203</v>
      </c>
      <c r="K42" s="9" t="str">
        <f aca="false">IF(J42="","",IF(B42-IF(J42="Grade K",0,VALUE(SUBSTITUTE(J42,"Grade ","")))&lt;=0,"On/above grade",IF(B42-IF(J42="Grade K",0,VALUE(SUBSTITUTE(J42,"Grade ","")))=1,"1 grade below",IF(B42-IF(J42="Grade K",0,VALUE(SUBSTITUTE(J42,"Grade ","")))=2,"2 grades below","3+ grades below"))))</f>
        <v>3+ grades below</v>
      </c>
      <c r="L42" s="4" t="s">
        <v>196</v>
      </c>
      <c r="M42" s="4" t="s">
        <v>196</v>
      </c>
      <c r="N42" s="4" t="s">
        <v>196</v>
      </c>
      <c r="O42" s="2"/>
    </row>
    <row r="43" customFormat="false" ht="15" hidden="false" customHeight="false" outlineLevel="0" collapsed="false">
      <c r="A43" s="5" t="str">
        <f aca="false">IFERROR(INDEX(Roster!$A$3:$A$148,MATCH(41,Roster!$D$3:$D$148,0)),"")</f>
        <v>S-077</v>
      </c>
      <c r="B43" s="5" t="n">
        <f aca="false">IFERROR(INDEX(Roster!$B$3:$B$148,MATCH(41,Roster!$D$3:$D$148,0)),"")</f>
        <v>8</v>
      </c>
      <c r="C43" s="5" t="str">
        <f aca="false">IF(A43="","",IF(ROW()-3&lt;$F$1,"Group A",IF(ROW()-3&lt;2*$F$1,"Group B","Group C")))</f>
        <v>Group B</v>
      </c>
      <c r="D43" s="4" t="s">
        <v>192</v>
      </c>
      <c r="E43" s="4" t="n">
        <v>665</v>
      </c>
      <c r="F43" s="4" t="s">
        <v>193</v>
      </c>
      <c r="G43" s="9" t="str">
        <f aca="false">IF(F43="","",IF(B43-IF(F43="Grade K",0,VALUE(SUBSTITUTE(F43,"Grade ","")))&lt;=0,"On/above grade",IF(B43-IF(F43="Grade K",0,VALUE(SUBSTITUTE(F43,"Grade ","")))=1,"1 grade below",IF(B43-IF(F43="Grade K",0,VALUE(SUBSTITUTE(F43,"Grade ","")))=2,"2 grades below","3+ grades below"))))</f>
        <v>On/above grade</v>
      </c>
      <c r="H43" s="4" t="s">
        <v>192</v>
      </c>
      <c r="I43" s="4" t="n">
        <v>623</v>
      </c>
      <c r="J43" s="4" t="s">
        <v>200</v>
      </c>
      <c r="K43" s="9" t="str">
        <f aca="false">IF(J43="","",IF(B43-IF(J43="Grade K",0,VALUE(SUBSTITUTE(J43,"Grade ","")))&lt;=0,"On/above grade",IF(B43-IF(J43="Grade K",0,VALUE(SUBSTITUTE(J43,"Grade ","")))=1,"1 grade below",IF(B43-IF(J43="Grade K",0,VALUE(SUBSTITUTE(J43,"Grade ","")))=2,"2 grades below","3+ grades below"))))</f>
        <v>1 grade below</v>
      </c>
      <c r="L43" s="4" t="s">
        <v>196</v>
      </c>
      <c r="M43" s="4" t="s">
        <v>196</v>
      </c>
      <c r="N43" s="4" t="s">
        <v>199</v>
      </c>
      <c r="O43" s="2"/>
    </row>
    <row r="44" customFormat="false" ht="15" hidden="false" customHeight="false" outlineLevel="0" collapsed="false">
      <c r="A44" s="5" t="str">
        <f aca="false">IFERROR(INDEX(Roster!$A$3:$A$148,MATCH(42,Roster!$D$3:$D$148,0)),"")</f>
        <v>S-079</v>
      </c>
      <c r="B44" s="5" t="n">
        <f aca="false">IFERROR(INDEX(Roster!$B$3:$B$148,MATCH(42,Roster!$D$3:$D$148,0)),"")</f>
        <v>5</v>
      </c>
      <c r="C44" s="5" t="str">
        <f aca="false">IF(A44="","",IF(ROW()-3&lt;$F$1,"Group A",IF(ROW()-3&lt;2*$F$1,"Group B","Group C")))</f>
        <v>Group B</v>
      </c>
      <c r="D44" s="4" t="s">
        <v>192</v>
      </c>
      <c r="E44" s="4" t="n">
        <v>466</v>
      </c>
      <c r="F44" s="4" t="s">
        <v>201</v>
      </c>
      <c r="G44" s="9" t="str">
        <f aca="false">IF(F44="","",IF(B44-IF(F44="Grade K",0,VALUE(SUBSTITUTE(F44,"Grade ","")))&lt;=0,"On/above grade",IF(B44-IF(F44="Grade K",0,VALUE(SUBSTITUTE(F44,"Grade ","")))=1,"1 grade below",IF(B44-IF(F44="Grade K",0,VALUE(SUBSTITUTE(F44,"Grade ","")))=2,"2 grades below","3+ grades below"))))</f>
        <v>2 grades below</v>
      </c>
      <c r="H44" s="4" t="s">
        <v>192</v>
      </c>
      <c r="I44" s="4" t="n">
        <v>537</v>
      </c>
      <c r="J44" s="4" t="s">
        <v>197</v>
      </c>
      <c r="K44" s="9" t="str">
        <f aca="false">IF(J44="","",IF(B44-IF(J44="Grade K",0,VALUE(SUBSTITUTE(J44,"Grade ","")))&lt;=0,"On/above grade",IF(B44-IF(J44="Grade K",0,VALUE(SUBSTITUTE(J44,"Grade ","")))=1,"1 grade below",IF(B44-IF(J44="Grade K",0,VALUE(SUBSTITUTE(J44,"Grade ","")))=2,"2 grades below","3+ grades below"))))</f>
        <v>On/above grade</v>
      </c>
      <c r="L44" s="4" t="s">
        <v>195</v>
      </c>
      <c r="M44" s="4" t="s">
        <v>196</v>
      </c>
      <c r="N44" s="4" t="s">
        <v>195</v>
      </c>
      <c r="O44" s="2"/>
    </row>
    <row r="45" customFormat="false" ht="15" hidden="false" customHeight="false" outlineLevel="0" collapsed="false">
      <c r="A45" s="5" t="str">
        <f aca="false">IFERROR(INDEX(Roster!$A$3:$A$148,MATCH(43,Roster!$D$3:$D$148,0)),"")</f>
        <v>S-081</v>
      </c>
      <c r="B45" s="5" t="n">
        <f aca="false">IFERROR(INDEX(Roster!$B$3:$B$148,MATCH(43,Roster!$D$3:$D$148,0)),"")</f>
        <v>5</v>
      </c>
      <c r="C45" s="5" t="str">
        <f aca="false">IF(A45="","",IF(ROW()-3&lt;$F$1,"Group A",IF(ROW()-3&lt;2*$F$1,"Group B","Group C")))</f>
        <v>Group B</v>
      </c>
      <c r="D45" s="4" t="s">
        <v>192</v>
      </c>
      <c r="E45" s="4" t="n">
        <v>525</v>
      </c>
      <c r="F45" s="4" t="s">
        <v>202</v>
      </c>
      <c r="G45" s="9" t="str">
        <f aca="false">IF(F45="","",IF(B45-IF(F45="Grade K",0,VALUE(SUBSTITUTE(F45,"Grade ","")))&lt;=0,"On/above grade",IF(B45-IF(F45="Grade K",0,VALUE(SUBSTITUTE(F45,"Grade ","")))=1,"1 grade below",IF(B45-IF(F45="Grade K",0,VALUE(SUBSTITUTE(F45,"Grade ","")))=2,"2 grades below","3+ grades below"))))</f>
        <v>1 grade below</v>
      </c>
      <c r="H45" s="4" t="s">
        <v>192</v>
      </c>
      <c r="I45" s="4" t="n">
        <v>415</v>
      </c>
      <c r="J45" s="4" t="s">
        <v>203</v>
      </c>
      <c r="K45" s="9" t="str">
        <f aca="false">IF(J45="","",IF(B45-IF(J45="Grade K",0,VALUE(SUBSTITUTE(J45,"Grade ","")))&lt;=0,"On/above grade",IF(B45-IF(J45="Grade K",0,VALUE(SUBSTITUTE(J45,"Grade ","")))=1,"1 grade below",IF(B45-IF(J45="Grade K",0,VALUE(SUBSTITUTE(J45,"Grade ","")))=2,"2 grades below","3+ grades below"))))</f>
        <v>3+ grades below</v>
      </c>
      <c r="L45" s="4" t="s">
        <v>196</v>
      </c>
      <c r="M45" s="4" t="s">
        <v>199</v>
      </c>
      <c r="N45" s="4" t="s">
        <v>196</v>
      </c>
      <c r="O45" s="2"/>
    </row>
    <row r="46" customFormat="false" ht="15" hidden="false" customHeight="false" outlineLevel="0" collapsed="false">
      <c r="A46" s="5" t="str">
        <f aca="false">IFERROR(INDEX(Roster!$A$3:$A$148,MATCH(44,Roster!$D$3:$D$148,0)),"")</f>
        <v>S-084</v>
      </c>
      <c r="B46" s="5" t="n">
        <f aca="false">IFERROR(INDEX(Roster!$B$3:$B$148,MATCH(44,Roster!$D$3:$D$148,0)),"")</f>
        <v>8</v>
      </c>
      <c r="C46" s="5" t="str">
        <f aca="false">IF(A46="","",IF(ROW()-3&lt;$F$1,"Group A",IF(ROW()-3&lt;2*$F$1,"Group B","Group C")))</f>
        <v>Group B</v>
      </c>
      <c r="D46" s="4" t="s">
        <v>192</v>
      </c>
      <c r="E46" s="4" t="n">
        <v>515</v>
      </c>
      <c r="F46" s="4" t="s">
        <v>202</v>
      </c>
      <c r="G46" s="9" t="str">
        <f aca="false">IF(F46="","",IF(B46-IF(F46="Grade K",0,VALUE(SUBSTITUTE(F46,"Grade ","")))&lt;=0,"On/above grade",IF(B46-IF(F46="Grade K",0,VALUE(SUBSTITUTE(F46,"Grade ","")))=1,"1 grade below",IF(B46-IF(F46="Grade K",0,VALUE(SUBSTITUTE(F46,"Grade ","")))=2,"2 grades below","3+ grades below"))))</f>
        <v>3+ grades below</v>
      </c>
      <c r="H46" s="4" t="s">
        <v>192</v>
      </c>
      <c r="I46" s="4" t="n">
        <v>669</v>
      </c>
      <c r="J46" s="4" t="s">
        <v>193</v>
      </c>
      <c r="K46" s="9" t="str">
        <f aca="false">IF(J46="","",IF(B46-IF(J46="Grade K",0,VALUE(SUBSTITUTE(J46,"Grade ","")))&lt;=0,"On/above grade",IF(B46-IF(J46="Grade K",0,VALUE(SUBSTITUTE(J46,"Grade ","")))=1,"1 grade below",IF(B46-IF(J46="Grade K",0,VALUE(SUBSTITUTE(J46,"Grade ","")))=2,"2 grades below","3+ grades below"))))</f>
        <v>On/above grade</v>
      </c>
      <c r="L46" s="4" t="s">
        <v>196</v>
      </c>
      <c r="M46" s="4" t="s">
        <v>199</v>
      </c>
      <c r="N46" s="4" t="s">
        <v>196</v>
      </c>
      <c r="O46" s="2"/>
    </row>
    <row r="47" customFormat="false" ht="15" hidden="false" customHeight="false" outlineLevel="0" collapsed="false">
      <c r="A47" s="5" t="str">
        <f aca="false">IFERROR(INDEX(Roster!$A$3:$A$148,MATCH(45,Roster!$D$3:$D$148,0)),"")</f>
        <v>S-085</v>
      </c>
      <c r="B47" s="5" t="n">
        <f aca="false">IFERROR(INDEX(Roster!$B$3:$B$148,MATCH(45,Roster!$D$3:$D$148,0)),"")</f>
        <v>8</v>
      </c>
      <c r="C47" s="5" t="str">
        <f aca="false">IF(A47="","",IF(ROW()-3&lt;$F$1,"Group A",IF(ROW()-3&lt;2*$F$1,"Group B","Group C")))</f>
        <v>Group B</v>
      </c>
      <c r="D47" s="4" t="s">
        <v>192</v>
      </c>
      <c r="E47" s="4" t="n">
        <v>666</v>
      </c>
      <c r="F47" s="4" t="s">
        <v>193</v>
      </c>
      <c r="G47" s="9" t="str">
        <f aca="false">IF(F47="","",IF(B47-IF(F47="Grade K",0,VALUE(SUBSTITUTE(F47,"Grade ","")))&lt;=0,"On/above grade",IF(B47-IF(F47="Grade K",0,VALUE(SUBSTITUTE(F47,"Grade ","")))=1,"1 grade below",IF(B47-IF(F47="Grade K",0,VALUE(SUBSTITUTE(F47,"Grade ","")))=2,"2 grades below","3+ grades below"))))</f>
        <v>On/above grade</v>
      </c>
      <c r="H47" s="4" t="s">
        <v>192</v>
      </c>
      <c r="I47" s="4" t="n">
        <v>643</v>
      </c>
      <c r="J47" s="4" t="s">
        <v>193</v>
      </c>
      <c r="K47" s="9" t="str">
        <f aca="false">IF(J47="","",IF(B47-IF(J47="Grade K",0,VALUE(SUBSTITUTE(J47,"Grade ","")))&lt;=0,"On/above grade",IF(B47-IF(J47="Grade K",0,VALUE(SUBSTITUTE(J47,"Grade ","")))=1,"1 grade below",IF(B47-IF(J47="Grade K",0,VALUE(SUBSTITUTE(J47,"Grade ","")))=2,"2 grades below","3+ grades below"))))</f>
        <v>On/above grade</v>
      </c>
      <c r="L47" s="4" t="s">
        <v>196</v>
      </c>
      <c r="M47" s="4" t="s">
        <v>196</v>
      </c>
      <c r="N47" s="4" t="s">
        <v>196</v>
      </c>
      <c r="O47" s="2"/>
    </row>
    <row r="48" customFormat="false" ht="15" hidden="false" customHeight="false" outlineLevel="0" collapsed="false">
      <c r="A48" s="5" t="str">
        <f aca="false">IFERROR(INDEX(Roster!$A$3:$A$148,MATCH(46,Roster!$D$3:$D$148,0)),"")</f>
        <v>S-086</v>
      </c>
      <c r="B48" s="5" t="n">
        <f aca="false">IFERROR(INDEX(Roster!$B$3:$B$148,MATCH(46,Roster!$D$3:$D$148,0)),"")</f>
        <v>5</v>
      </c>
      <c r="C48" s="5" t="str">
        <f aca="false">IF(A48="","",IF(ROW()-3&lt;$F$1,"Group A",IF(ROW()-3&lt;2*$F$1,"Group B","Group C")))</f>
        <v>Group B</v>
      </c>
      <c r="D48" s="4" t="s">
        <v>192</v>
      </c>
      <c r="E48" s="4" t="n">
        <v>538</v>
      </c>
      <c r="F48" s="4" t="s">
        <v>202</v>
      </c>
      <c r="G48" s="9" t="str">
        <f aca="false">IF(F48="","",IF(B48-IF(F48="Grade K",0,VALUE(SUBSTITUTE(F48,"Grade ","")))&lt;=0,"On/above grade",IF(B48-IF(F48="Grade K",0,VALUE(SUBSTITUTE(F48,"Grade ","")))=1,"1 grade below",IF(B48-IF(F48="Grade K",0,VALUE(SUBSTITUTE(F48,"Grade ","")))=2,"2 grades below","3+ grades below"))))</f>
        <v>1 grade below</v>
      </c>
      <c r="H48" s="4" t="s">
        <v>192</v>
      </c>
      <c r="I48" s="4" t="n">
        <v>491</v>
      </c>
      <c r="J48" s="4" t="s">
        <v>201</v>
      </c>
      <c r="K48" s="9" t="str">
        <f aca="false">IF(J48="","",IF(B48-IF(J48="Grade K",0,VALUE(SUBSTITUTE(J48,"Grade ","")))&lt;=0,"On/above grade",IF(B48-IF(J48="Grade K",0,VALUE(SUBSTITUTE(J48,"Grade ","")))=1,"1 grade below",IF(B48-IF(J48="Grade K",0,VALUE(SUBSTITUTE(J48,"Grade ","")))=2,"2 grades below","3+ grades below"))))</f>
        <v>2 grades below</v>
      </c>
      <c r="L48" s="4" t="s">
        <v>196</v>
      </c>
      <c r="M48" s="4" t="s">
        <v>195</v>
      </c>
      <c r="N48" s="4" t="s">
        <v>195</v>
      </c>
      <c r="O48" s="2"/>
    </row>
    <row r="49" customFormat="false" ht="15" hidden="false" customHeight="false" outlineLevel="0" collapsed="false">
      <c r="A49" s="5" t="str">
        <f aca="false">IFERROR(INDEX(Roster!$A$3:$A$148,MATCH(47,Roster!$D$3:$D$148,0)),"")</f>
        <v>S-090</v>
      </c>
      <c r="B49" s="5" t="n">
        <f aca="false">IFERROR(INDEX(Roster!$B$3:$B$148,MATCH(47,Roster!$D$3:$D$148,0)),"")</f>
        <v>5</v>
      </c>
      <c r="C49" s="5" t="str">
        <f aca="false">IF(A49="","",IF(ROW()-3&lt;$F$1,"Group A",IF(ROW()-3&lt;2*$F$1,"Group B","Group C")))</f>
        <v>Group B</v>
      </c>
      <c r="D49" s="4" t="s">
        <v>192</v>
      </c>
      <c r="E49" s="4" t="n">
        <v>543</v>
      </c>
      <c r="F49" s="4" t="s">
        <v>197</v>
      </c>
      <c r="G49" s="9" t="str">
        <f aca="false">IF(F49="","",IF(B49-IF(F49="Grade K",0,VALUE(SUBSTITUTE(F49,"Grade ","")))&lt;=0,"On/above grade",IF(B49-IF(F49="Grade K",0,VALUE(SUBSTITUTE(F49,"Grade ","")))=1,"1 grade below",IF(B49-IF(F49="Grade K",0,VALUE(SUBSTITUTE(F49,"Grade ","")))=2,"2 grades below","3+ grades below"))))</f>
        <v>On/above grade</v>
      </c>
      <c r="H49" s="4" t="s">
        <v>192</v>
      </c>
      <c r="I49" s="4" t="n">
        <v>554</v>
      </c>
      <c r="J49" s="4" t="s">
        <v>197</v>
      </c>
      <c r="K49" s="9" t="str">
        <f aca="false">IF(J49="","",IF(B49-IF(J49="Grade K",0,VALUE(SUBSTITUTE(J49,"Grade ","")))&lt;=0,"On/above grade",IF(B49-IF(J49="Grade K",0,VALUE(SUBSTITUTE(J49,"Grade ","")))=1,"1 grade below",IF(B49-IF(J49="Grade K",0,VALUE(SUBSTITUTE(J49,"Grade ","")))=2,"2 grades below","3+ grades below"))))</f>
        <v>On/above grade</v>
      </c>
      <c r="L49" s="4" t="s">
        <v>195</v>
      </c>
      <c r="M49" s="4" t="s">
        <v>195</v>
      </c>
      <c r="N49" s="4" t="s">
        <v>196</v>
      </c>
      <c r="O49" s="2"/>
    </row>
    <row r="50" customFormat="false" ht="15" hidden="false" customHeight="false" outlineLevel="0" collapsed="false">
      <c r="A50" s="5" t="str">
        <f aca="false">IFERROR(INDEX(Roster!$A$3:$A$148,MATCH(48,Roster!$D$3:$D$148,0)),"")</f>
        <v>S-093</v>
      </c>
      <c r="B50" s="5" t="n">
        <f aca="false">IFERROR(INDEX(Roster!$B$3:$B$148,MATCH(48,Roster!$D$3:$D$148,0)),"")</f>
        <v>5</v>
      </c>
      <c r="C50" s="5" t="str">
        <f aca="false">IF(A50="","",IF(ROW()-3&lt;$F$1,"Group A",IF(ROW()-3&lt;2*$F$1,"Group B","Group C")))</f>
        <v>Group B</v>
      </c>
      <c r="D50" s="4" t="s">
        <v>192</v>
      </c>
      <c r="E50" s="4" t="n">
        <v>501</v>
      </c>
      <c r="F50" s="4" t="s">
        <v>201</v>
      </c>
      <c r="G50" s="9" t="str">
        <f aca="false">IF(F50="","",IF(B50-IF(F50="Grade K",0,VALUE(SUBSTITUTE(F50,"Grade ","")))&lt;=0,"On/above grade",IF(B50-IF(F50="Grade K",0,VALUE(SUBSTITUTE(F50,"Grade ","")))=1,"1 grade below",IF(B50-IF(F50="Grade K",0,VALUE(SUBSTITUTE(F50,"Grade ","")))=2,"2 grades below","3+ grades below"))))</f>
        <v>2 grades below</v>
      </c>
      <c r="H50" s="4" t="s">
        <v>192</v>
      </c>
      <c r="I50" s="4" t="n">
        <v>552</v>
      </c>
      <c r="J50" s="4" t="s">
        <v>197</v>
      </c>
      <c r="K50" s="9" t="str">
        <f aca="false">IF(J50="","",IF(B50-IF(J50="Grade K",0,VALUE(SUBSTITUTE(J50,"Grade ","")))&lt;=0,"On/above grade",IF(B50-IF(J50="Grade K",0,VALUE(SUBSTITUTE(J50,"Grade ","")))=1,"1 grade below",IF(B50-IF(J50="Grade K",0,VALUE(SUBSTITUTE(J50,"Grade ","")))=2,"2 grades below","3+ grades below"))))</f>
        <v>On/above grade</v>
      </c>
      <c r="L50" s="4" t="s">
        <v>195</v>
      </c>
      <c r="M50" s="4" t="s">
        <v>196</v>
      </c>
      <c r="N50" s="4" t="s">
        <v>196</v>
      </c>
      <c r="O50" s="2"/>
    </row>
    <row r="51" customFormat="false" ht="15" hidden="false" customHeight="false" outlineLevel="0" collapsed="false">
      <c r="A51" s="5" t="str">
        <f aca="false">IFERROR(INDEX(Roster!$A$3:$A$148,MATCH(49,Roster!$D$3:$D$148,0)),"")</f>
        <v>S-096</v>
      </c>
      <c r="B51" s="5" t="n">
        <f aca="false">IFERROR(INDEX(Roster!$B$3:$B$148,MATCH(49,Roster!$D$3:$D$148,0)),"")</f>
        <v>8</v>
      </c>
      <c r="C51" s="5" t="str">
        <f aca="false">IF(A51="","",IF(ROW()-3&lt;$F$1,"Group A",IF(ROW()-3&lt;2*$F$1,"Group B","Group C")))</f>
        <v>Group B</v>
      </c>
      <c r="D51" s="4" t="s">
        <v>199</v>
      </c>
      <c r="E51" s="2"/>
      <c r="F51" s="2"/>
      <c r="G51" s="9" t="str">
        <f aca="false">IF(F51="","",IF(B51-IF(F51="Grade K",0,VALUE(SUBSTITUTE(F51,"Grade ","")))&lt;=0,"On/above grade",IF(B51-IF(F51="Grade K",0,VALUE(SUBSTITUTE(F51,"Grade ","")))=1,"1 grade below",IF(B51-IF(F51="Grade K",0,VALUE(SUBSTITUTE(F51,"Grade ","")))=2,"2 grades below","3+ grades below"))))</f>
        <v/>
      </c>
      <c r="H51" s="4" t="s">
        <v>199</v>
      </c>
      <c r="I51" s="2"/>
      <c r="J51" s="2"/>
      <c r="K51" s="9" t="str">
        <f aca="false">IF(J51="","",IF(B51-IF(J51="Grade K",0,VALUE(SUBSTITUTE(J51,"Grade ","")))&lt;=0,"On/above grade",IF(B51-IF(J51="Grade K",0,VALUE(SUBSTITUTE(J51,"Grade ","")))=1,"1 grade below",IF(B51-IF(J51="Grade K",0,VALUE(SUBSTITUTE(J51,"Grade ","")))=2,"2 grades below","3+ grades below"))))</f>
        <v/>
      </c>
      <c r="L51" s="4" t="s">
        <v>195</v>
      </c>
      <c r="M51" s="4" t="s">
        <v>196</v>
      </c>
      <c r="N51" s="4" t="s">
        <v>196</v>
      </c>
      <c r="O51" s="2"/>
    </row>
    <row r="52" customFormat="false" ht="15" hidden="false" customHeight="false" outlineLevel="0" collapsed="false">
      <c r="A52" s="5" t="str">
        <f aca="false">IFERROR(INDEX(Roster!$A$3:$A$148,MATCH(50,Roster!$D$3:$D$148,0)),"")</f>
        <v>S-097</v>
      </c>
      <c r="B52" s="5" t="n">
        <f aca="false">IFERROR(INDEX(Roster!$B$3:$B$148,MATCH(50,Roster!$D$3:$D$148,0)),"")</f>
        <v>8</v>
      </c>
      <c r="C52" s="5" t="str">
        <f aca="false">IF(A52="","",IF(ROW()-3&lt;$F$1,"Group A",IF(ROW()-3&lt;2*$F$1,"Group B","Group C")))</f>
        <v>Group B</v>
      </c>
      <c r="D52" s="4" t="s">
        <v>192</v>
      </c>
      <c r="E52" s="4" t="n">
        <v>644</v>
      </c>
      <c r="F52" s="4" t="s">
        <v>200</v>
      </c>
      <c r="G52" s="9" t="str">
        <f aca="false">IF(F52="","",IF(B52-IF(F52="Grade K",0,VALUE(SUBSTITUTE(F52,"Grade ","")))&lt;=0,"On/above grade",IF(B52-IF(F52="Grade K",0,VALUE(SUBSTITUTE(F52,"Grade ","")))=1,"1 grade below",IF(B52-IF(F52="Grade K",0,VALUE(SUBSTITUTE(F52,"Grade ","")))=2,"2 grades below","3+ grades below"))))</f>
        <v>1 grade below</v>
      </c>
      <c r="H52" s="4" t="s">
        <v>192</v>
      </c>
      <c r="I52" s="4" t="n">
        <v>657</v>
      </c>
      <c r="J52" s="4" t="s">
        <v>193</v>
      </c>
      <c r="K52" s="9" t="str">
        <f aca="false">IF(J52="","",IF(B52-IF(J52="Grade K",0,VALUE(SUBSTITUTE(J52,"Grade ","")))&lt;=0,"On/above grade",IF(B52-IF(J52="Grade K",0,VALUE(SUBSTITUTE(J52,"Grade ","")))=1,"1 grade below",IF(B52-IF(J52="Grade K",0,VALUE(SUBSTITUTE(J52,"Grade ","")))=2,"2 grades below","3+ grades below"))))</f>
        <v>On/above grade</v>
      </c>
      <c r="L52" s="4" t="s">
        <v>196</v>
      </c>
      <c r="M52" s="4" t="s">
        <v>196</v>
      </c>
      <c r="N52" s="4" t="s">
        <v>195</v>
      </c>
      <c r="O52" s="2"/>
    </row>
    <row r="53" customFormat="false" ht="15" hidden="false" customHeight="false" outlineLevel="0" collapsed="false">
      <c r="A53" s="5" t="str">
        <f aca="false">IFERROR(INDEX(Roster!$A$3:$A$148,MATCH(51,Roster!$D$3:$D$148,0)),"")</f>
        <v>S-098</v>
      </c>
      <c r="B53" s="5" t="n">
        <f aca="false">IFERROR(INDEX(Roster!$B$3:$B$148,MATCH(51,Roster!$D$3:$D$148,0)),"")</f>
        <v>5</v>
      </c>
      <c r="C53" s="5" t="str">
        <f aca="false">IF(A53="","",IF(ROW()-3&lt;$F$1,"Group A",IF(ROW()-3&lt;2*$F$1,"Group B","Group C")))</f>
        <v>Group C</v>
      </c>
      <c r="D53" s="4" t="s">
        <v>192</v>
      </c>
      <c r="E53" s="4" t="n">
        <v>488</v>
      </c>
      <c r="F53" s="4" t="s">
        <v>201</v>
      </c>
      <c r="G53" s="9" t="str">
        <f aca="false">IF(F53="","",IF(B53-IF(F53="Grade K",0,VALUE(SUBSTITUTE(F53,"Grade ","")))&lt;=0,"On/above grade",IF(B53-IF(F53="Grade K",0,VALUE(SUBSTITUTE(F53,"Grade ","")))=1,"1 grade below",IF(B53-IF(F53="Grade K",0,VALUE(SUBSTITUTE(F53,"Grade ","")))=2,"2 grades below","3+ grades below"))))</f>
        <v>2 grades below</v>
      </c>
      <c r="H53" s="4" t="s">
        <v>192</v>
      </c>
      <c r="I53" s="4" t="n">
        <v>521</v>
      </c>
      <c r="J53" s="4" t="s">
        <v>202</v>
      </c>
      <c r="K53" s="9" t="str">
        <f aca="false">IF(J53="","",IF(B53-IF(J53="Grade K",0,VALUE(SUBSTITUTE(J53,"Grade ","")))&lt;=0,"On/above grade",IF(B53-IF(J53="Grade K",0,VALUE(SUBSTITUTE(J53,"Grade ","")))=1,"1 grade below",IF(B53-IF(J53="Grade K",0,VALUE(SUBSTITUTE(J53,"Grade ","")))=2,"2 grades below","3+ grades below"))))</f>
        <v>1 grade below</v>
      </c>
      <c r="L53" s="4" t="s">
        <v>196</v>
      </c>
      <c r="M53" s="4" t="s">
        <v>195</v>
      </c>
      <c r="N53" s="4" t="s">
        <v>195</v>
      </c>
      <c r="O53" s="2"/>
    </row>
    <row r="54" customFormat="false" ht="15" hidden="false" customHeight="false" outlineLevel="0" collapsed="false">
      <c r="A54" s="5" t="str">
        <f aca="false">IFERROR(INDEX(Roster!$A$3:$A$148,MATCH(52,Roster!$D$3:$D$148,0)),"")</f>
        <v>S-100</v>
      </c>
      <c r="B54" s="5" t="n">
        <f aca="false">IFERROR(INDEX(Roster!$B$3:$B$148,MATCH(52,Roster!$D$3:$D$148,0)),"")</f>
        <v>8</v>
      </c>
      <c r="C54" s="5" t="str">
        <f aca="false">IF(A54="","",IF(ROW()-3&lt;$F$1,"Group A",IF(ROW()-3&lt;2*$F$1,"Group B","Group C")))</f>
        <v>Group C</v>
      </c>
      <c r="D54" s="4" t="s">
        <v>192</v>
      </c>
      <c r="E54" s="4" t="n">
        <v>679</v>
      </c>
      <c r="F54" s="4" t="s">
        <v>193</v>
      </c>
      <c r="G54" s="9" t="str">
        <f aca="false">IF(F54="","",IF(B54-IF(F54="Grade K",0,VALUE(SUBSTITUTE(F54,"Grade ","")))&lt;=0,"On/above grade",IF(B54-IF(F54="Grade K",0,VALUE(SUBSTITUTE(F54,"Grade ","")))=1,"1 grade below",IF(B54-IF(F54="Grade K",0,VALUE(SUBSTITUTE(F54,"Grade ","")))=2,"2 grades below","3+ grades below"))))</f>
        <v>On/above grade</v>
      </c>
      <c r="H54" s="4" t="s">
        <v>192</v>
      </c>
      <c r="I54" s="4" t="n">
        <v>598</v>
      </c>
      <c r="J54" s="4" t="s">
        <v>194</v>
      </c>
      <c r="K54" s="9" t="str">
        <f aca="false">IF(J54="","",IF(B54-IF(J54="Grade K",0,VALUE(SUBSTITUTE(J54,"Grade ","")))&lt;=0,"On/above grade",IF(B54-IF(J54="Grade K",0,VALUE(SUBSTITUTE(J54,"Grade ","")))=1,"1 grade below",IF(B54-IF(J54="Grade K",0,VALUE(SUBSTITUTE(J54,"Grade ","")))=2,"2 grades below","3+ grades below"))))</f>
        <v>2 grades below</v>
      </c>
      <c r="L54" s="4" t="s">
        <v>196</v>
      </c>
      <c r="M54" s="4" t="s">
        <v>196</v>
      </c>
      <c r="N54" s="4" t="s">
        <v>195</v>
      </c>
      <c r="O54" s="2"/>
    </row>
    <row r="55" customFormat="false" ht="15" hidden="false" customHeight="false" outlineLevel="0" collapsed="false">
      <c r="A55" s="5" t="str">
        <f aca="false">IFERROR(INDEX(Roster!$A$3:$A$148,MATCH(53,Roster!$D$3:$D$148,0)),"")</f>
        <v>S-103</v>
      </c>
      <c r="B55" s="5" t="n">
        <f aca="false">IFERROR(INDEX(Roster!$B$3:$B$148,MATCH(53,Roster!$D$3:$D$148,0)),"")</f>
        <v>5</v>
      </c>
      <c r="C55" s="5" t="str">
        <f aca="false">IF(A55="","",IF(ROW()-3&lt;$F$1,"Group A",IF(ROW()-3&lt;2*$F$1,"Group B","Group C")))</f>
        <v>Group C</v>
      </c>
      <c r="D55" s="4" t="s">
        <v>192</v>
      </c>
      <c r="E55" s="4" t="n">
        <v>503</v>
      </c>
      <c r="F55" s="4" t="s">
        <v>201</v>
      </c>
      <c r="G55" s="9" t="str">
        <f aca="false">IF(F55="","",IF(B55-IF(F55="Grade K",0,VALUE(SUBSTITUTE(F55,"Grade ","")))&lt;=0,"On/above grade",IF(B55-IF(F55="Grade K",0,VALUE(SUBSTITUTE(F55,"Grade ","")))=1,"1 grade below",IF(B55-IF(F55="Grade K",0,VALUE(SUBSTITUTE(F55,"Grade ","")))=2,"2 grades below","3+ grades below"))))</f>
        <v>2 grades below</v>
      </c>
      <c r="H55" s="4" t="s">
        <v>192</v>
      </c>
      <c r="I55" s="4" t="n">
        <v>511</v>
      </c>
      <c r="J55" s="4" t="s">
        <v>202</v>
      </c>
      <c r="K55" s="9" t="str">
        <f aca="false">IF(J55="","",IF(B55-IF(J55="Grade K",0,VALUE(SUBSTITUTE(J55,"Grade ","")))&lt;=0,"On/above grade",IF(B55-IF(J55="Grade K",0,VALUE(SUBSTITUTE(J55,"Grade ","")))=1,"1 grade below",IF(B55-IF(J55="Grade K",0,VALUE(SUBSTITUTE(J55,"Grade ","")))=2,"2 grades below","3+ grades below"))))</f>
        <v>1 grade below</v>
      </c>
      <c r="L55" s="4" t="s">
        <v>196</v>
      </c>
      <c r="M55" s="4" t="s">
        <v>196</v>
      </c>
      <c r="N55" s="4" t="s">
        <v>196</v>
      </c>
      <c r="O55" s="2"/>
    </row>
    <row r="56" customFormat="false" ht="15" hidden="false" customHeight="false" outlineLevel="0" collapsed="false">
      <c r="A56" s="5" t="str">
        <f aca="false">IFERROR(INDEX(Roster!$A$3:$A$148,MATCH(54,Roster!$D$3:$D$148,0)),"")</f>
        <v>S-104</v>
      </c>
      <c r="B56" s="5" t="n">
        <f aca="false">IFERROR(INDEX(Roster!$B$3:$B$148,MATCH(54,Roster!$D$3:$D$148,0)),"")</f>
        <v>8</v>
      </c>
      <c r="C56" s="5" t="str">
        <f aca="false">IF(A56="","",IF(ROW()-3&lt;$F$1,"Group A",IF(ROW()-3&lt;2*$F$1,"Group B","Group C")))</f>
        <v>Group C</v>
      </c>
      <c r="D56" s="4" t="s">
        <v>204</v>
      </c>
      <c r="E56" s="2"/>
      <c r="F56" s="2"/>
      <c r="G56" s="9" t="str">
        <f aca="false">IF(F56="","",IF(B56-IF(F56="Grade K",0,VALUE(SUBSTITUTE(F56,"Grade ","")))&lt;=0,"On/above grade",IF(B56-IF(F56="Grade K",0,VALUE(SUBSTITUTE(F56,"Grade ","")))=1,"1 grade below",IF(B56-IF(F56="Grade K",0,VALUE(SUBSTITUTE(F56,"Grade ","")))=2,"2 grades below","3+ grades below"))))</f>
        <v/>
      </c>
      <c r="H56" s="4" t="s">
        <v>192</v>
      </c>
      <c r="I56" s="4" t="n">
        <v>676</v>
      </c>
      <c r="J56" s="4" t="s">
        <v>193</v>
      </c>
      <c r="K56" s="9" t="str">
        <f aca="false">IF(J56="","",IF(B56-IF(J56="Grade K",0,VALUE(SUBSTITUTE(J56,"Grade ","")))&lt;=0,"On/above grade",IF(B56-IF(J56="Grade K",0,VALUE(SUBSTITUTE(J56,"Grade ","")))=1,"1 grade below",IF(B56-IF(J56="Grade K",0,VALUE(SUBSTITUTE(J56,"Grade ","")))=2,"2 grades below","3+ grades below"))))</f>
        <v>On/above grade</v>
      </c>
      <c r="L56" s="4" t="s">
        <v>196</v>
      </c>
      <c r="M56" s="4" t="s">
        <v>195</v>
      </c>
      <c r="N56" s="4" t="s">
        <v>196</v>
      </c>
      <c r="O56" s="2"/>
    </row>
    <row r="57" customFormat="false" ht="15" hidden="false" customHeight="false" outlineLevel="0" collapsed="false">
      <c r="A57" s="5" t="str">
        <f aca="false">IFERROR(INDEX(Roster!$A$3:$A$148,MATCH(55,Roster!$D$3:$D$148,0)),"")</f>
        <v>S-105</v>
      </c>
      <c r="B57" s="5" t="n">
        <f aca="false">IFERROR(INDEX(Roster!$B$3:$B$148,MATCH(55,Roster!$D$3:$D$148,0)),"")</f>
        <v>5</v>
      </c>
      <c r="C57" s="5" t="str">
        <f aca="false">IF(A57="","",IF(ROW()-3&lt;$F$1,"Group A",IF(ROW()-3&lt;2*$F$1,"Group B","Group C")))</f>
        <v>Group C</v>
      </c>
      <c r="D57" s="4" t="s">
        <v>192</v>
      </c>
      <c r="E57" s="4" t="n">
        <v>554</v>
      </c>
      <c r="F57" s="4" t="s">
        <v>197</v>
      </c>
      <c r="G57" s="9" t="str">
        <f aca="false">IF(F57="","",IF(B57-IF(F57="Grade K",0,VALUE(SUBSTITUTE(F57,"Grade ","")))&lt;=0,"On/above grade",IF(B57-IF(F57="Grade K",0,VALUE(SUBSTITUTE(F57,"Grade ","")))=1,"1 grade below",IF(B57-IF(F57="Grade K",0,VALUE(SUBSTITUTE(F57,"Grade ","")))=2,"2 grades below","3+ grades below"))))</f>
        <v>On/above grade</v>
      </c>
      <c r="H57" s="4" t="s">
        <v>192</v>
      </c>
      <c r="I57" s="4" t="n">
        <v>470</v>
      </c>
      <c r="J57" s="4" t="s">
        <v>201</v>
      </c>
      <c r="K57" s="9" t="str">
        <f aca="false">IF(J57="","",IF(B57-IF(J57="Grade K",0,VALUE(SUBSTITUTE(J57,"Grade ","")))&lt;=0,"On/above grade",IF(B57-IF(J57="Grade K",0,VALUE(SUBSTITUTE(J57,"Grade ","")))=1,"1 grade below",IF(B57-IF(J57="Grade K",0,VALUE(SUBSTITUTE(J57,"Grade ","")))=2,"2 grades below","3+ grades below"))))</f>
        <v>2 grades below</v>
      </c>
      <c r="L57" s="4" t="s">
        <v>195</v>
      </c>
      <c r="M57" s="4" t="s">
        <v>196</v>
      </c>
      <c r="N57" s="4" t="s">
        <v>195</v>
      </c>
      <c r="O57" s="2"/>
    </row>
    <row r="58" customFormat="false" ht="15" hidden="false" customHeight="false" outlineLevel="0" collapsed="false">
      <c r="A58" s="5" t="str">
        <f aca="false">IFERROR(INDEX(Roster!$A$3:$A$148,MATCH(56,Roster!$D$3:$D$148,0)),"")</f>
        <v>S-107</v>
      </c>
      <c r="B58" s="5" t="n">
        <f aca="false">IFERROR(INDEX(Roster!$B$3:$B$148,MATCH(56,Roster!$D$3:$D$148,0)),"")</f>
        <v>5</v>
      </c>
      <c r="C58" s="5" t="str">
        <f aca="false">IF(A58="","",IF(ROW()-3&lt;$F$1,"Group A",IF(ROW()-3&lt;2*$F$1,"Group B","Group C")))</f>
        <v>Group C</v>
      </c>
      <c r="D58" s="4" t="s">
        <v>192</v>
      </c>
      <c r="E58" s="4" t="n">
        <v>444</v>
      </c>
      <c r="F58" s="4" t="s">
        <v>198</v>
      </c>
      <c r="G58" s="9" t="str">
        <f aca="false">IF(F58="","",IF(B58-IF(F58="Grade K",0,VALUE(SUBSTITUTE(F58,"Grade ","")))&lt;=0,"On/above grade",IF(B58-IF(F58="Grade K",0,VALUE(SUBSTITUTE(F58,"Grade ","")))=1,"1 grade below",IF(B58-IF(F58="Grade K",0,VALUE(SUBSTITUTE(F58,"Grade ","")))=2,"2 grades below","3+ grades below"))))</f>
        <v>3+ grades below</v>
      </c>
      <c r="H58" s="4" t="s">
        <v>192</v>
      </c>
      <c r="I58" s="4" t="n">
        <v>488</v>
      </c>
      <c r="J58" s="4" t="s">
        <v>201</v>
      </c>
      <c r="K58" s="9" t="str">
        <f aca="false">IF(J58="","",IF(B58-IF(J58="Grade K",0,VALUE(SUBSTITUTE(J58,"Grade ","")))&lt;=0,"On/above grade",IF(B58-IF(J58="Grade K",0,VALUE(SUBSTITUTE(J58,"Grade ","")))=1,"1 grade below",IF(B58-IF(J58="Grade K",0,VALUE(SUBSTITUTE(J58,"Grade ","")))=2,"2 grades below","3+ grades below"))))</f>
        <v>2 grades below</v>
      </c>
      <c r="L58" s="4" t="s">
        <v>199</v>
      </c>
      <c r="M58" s="4" t="s">
        <v>196</v>
      </c>
      <c r="N58" s="4" t="s">
        <v>196</v>
      </c>
      <c r="O58" s="2"/>
    </row>
    <row r="59" customFormat="false" ht="15" hidden="false" customHeight="false" outlineLevel="0" collapsed="false">
      <c r="A59" s="5" t="str">
        <f aca="false">IFERROR(INDEX(Roster!$A$3:$A$148,MATCH(57,Roster!$D$3:$D$148,0)),"")</f>
        <v>S-108</v>
      </c>
      <c r="B59" s="5" t="n">
        <f aca="false">IFERROR(INDEX(Roster!$B$3:$B$148,MATCH(57,Roster!$D$3:$D$148,0)),"")</f>
        <v>5</v>
      </c>
      <c r="C59" s="5" t="str">
        <f aca="false">IF(A59="","",IF(ROW()-3&lt;$F$1,"Group A",IF(ROW()-3&lt;2*$F$1,"Group B","Group C")))</f>
        <v>Group C</v>
      </c>
      <c r="D59" s="4" t="s">
        <v>192</v>
      </c>
      <c r="E59" s="4" t="n">
        <v>447</v>
      </c>
      <c r="F59" s="4" t="s">
        <v>198</v>
      </c>
      <c r="G59" s="9" t="str">
        <f aca="false">IF(F59="","",IF(B59-IF(F59="Grade K",0,VALUE(SUBSTITUTE(F59,"Grade ","")))&lt;=0,"On/above grade",IF(B59-IF(F59="Grade K",0,VALUE(SUBSTITUTE(F59,"Grade ","")))=1,"1 grade below",IF(B59-IF(F59="Grade K",0,VALUE(SUBSTITUTE(F59,"Grade ","")))=2,"2 grades below","3+ grades below"))))</f>
        <v>3+ grades below</v>
      </c>
      <c r="H59" s="4" t="s">
        <v>192</v>
      </c>
      <c r="I59" s="4" t="n">
        <v>449</v>
      </c>
      <c r="J59" s="4" t="s">
        <v>198</v>
      </c>
      <c r="K59" s="9" t="str">
        <f aca="false">IF(J59="","",IF(B59-IF(J59="Grade K",0,VALUE(SUBSTITUTE(J59,"Grade ","")))&lt;=0,"On/above grade",IF(B59-IF(J59="Grade K",0,VALUE(SUBSTITUTE(J59,"Grade ","")))=1,"1 grade below",IF(B59-IF(J59="Grade K",0,VALUE(SUBSTITUTE(J59,"Grade ","")))=2,"2 grades below","3+ grades below"))))</f>
        <v>3+ grades below</v>
      </c>
      <c r="L59" s="4" t="s">
        <v>196</v>
      </c>
      <c r="M59" s="4" t="s">
        <v>196</v>
      </c>
      <c r="N59" s="4" t="s">
        <v>199</v>
      </c>
      <c r="O59" s="2"/>
    </row>
    <row r="60" customFormat="false" ht="15" hidden="false" customHeight="false" outlineLevel="0" collapsed="false">
      <c r="A60" s="5" t="str">
        <f aca="false">IFERROR(INDEX(Roster!$A$3:$A$148,MATCH(58,Roster!$D$3:$D$148,0)),"")</f>
        <v>S-109</v>
      </c>
      <c r="B60" s="5" t="n">
        <f aca="false">IFERROR(INDEX(Roster!$B$3:$B$148,MATCH(58,Roster!$D$3:$D$148,0)),"")</f>
        <v>5</v>
      </c>
      <c r="C60" s="5" t="str">
        <f aca="false">IF(A60="","",IF(ROW()-3&lt;$F$1,"Group A",IF(ROW()-3&lt;2*$F$1,"Group B","Group C")))</f>
        <v>Group C</v>
      </c>
      <c r="D60" s="4" t="s">
        <v>192</v>
      </c>
      <c r="E60" s="4" t="n">
        <v>505</v>
      </c>
      <c r="F60" s="4" t="s">
        <v>202</v>
      </c>
      <c r="G60" s="9" t="str">
        <f aca="false">IF(F60="","",IF(B60-IF(F60="Grade K",0,VALUE(SUBSTITUTE(F60,"Grade ","")))&lt;=0,"On/above grade",IF(B60-IF(F60="Grade K",0,VALUE(SUBSTITUTE(F60,"Grade ","")))=1,"1 grade below",IF(B60-IF(F60="Grade K",0,VALUE(SUBSTITUTE(F60,"Grade ","")))=2,"2 grades below","3+ grades below"))))</f>
        <v>1 grade below</v>
      </c>
      <c r="H60" s="4" t="s">
        <v>192</v>
      </c>
      <c r="I60" s="4" t="n">
        <v>523</v>
      </c>
      <c r="J60" s="4" t="s">
        <v>202</v>
      </c>
      <c r="K60" s="9" t="str">
        <f aca="false">IF(J60="","",IF(B60-IF(J60="Grade K",0,VALUE(SUBSTITUTE(J60,"Grade ","")))&lt;=0,"On/above grade",IF(B60-IF(J60="Grade K",0,VALUE(SUBSTITUTE(J60,"Grade ","")))=1,"1 grade below",IF(B60-IF(J60="Grade K",0,VALUE(SUBSTITUTE(J60,"Grade ","")))=2,"2 grades below","3+ grades below"))))</f>
        <v>1 grade below</v>
      </c>
      <c r="L60" s="4" t="s">
        <v>195</v>
      </c>
      <c r="M60" s="4" t="s">
        <v>196</v>
      </c>
      <c r="N60" s="4" t="s">
        <v>195</v>
      </c>
      <c r="O60" s="2"/>
    </row>
    <row r="61" customFormat="false" ht="15" hidden="false" customHeight="false" outlineLevel="0" collapsed="false">
      <c r="A61" s="5" t="str">
        <f aca="false">IFERROR(INDEX(Roster!$A$3:$A$148,MATCH(59,Roster!$D$3:$D$148,0)),"")</f>
        <v>S-112</v>
      </c>
      <c r="B61" s="5" t="n">
        <f aca="false">IFERROR(INDEX(Roster!$B$3:$B$148,MATCH(59,Roster!$D$3:$D$148,0)),"")</f>
        <v>8</v>
      </c>
      <c r="C61" s="5" t="str">
        <f aca="false">IF(A61="","",IF(ROW()-3&lt;$F$1,"Group A",IF(ROW()-3&lt;2*$F$1,"Group B","Group C")))</f>
        <v>Group C</v>
      </c>
      <c r="D61" s="4" t="s">
        <v>192</v>
      </c>
      <c r="E61" s="4" t="n">
        <v>629</v>
      </c>
      <c r="F61" s="4" t="s">
        <v>200</v>
      </c>
      <c r="G61" s="9" t="str">
        <f aca="false">IF(F61="","",IF(B61-IF(F61="Grade K",0,VALUE(SUBSTITUTE(F61,"Grade ","")))&lt;=0,"On/above grade",IF(B61-IF(F61="Grade K",0,VALUE(SUBSTITUTE(F61,"Grade ","")))=1,"1 grade below",IF(B61-IF(F61="Grade K",0,VALUE(SUBSTITUTE(F61,"Grade ","")))=2,"2 grades below","3+ grades below"))))</f>
        <v>1 grade below</v>
      </c>
      <c r="H61" s="4" t="s">
        <v>192</v>
      </c>
      <c r="I61" s="4" t="n">
        <v>571</v>
      </c>
      <c r="J61" s="4" t="s">
        <v>197</v>
      </c>
      <c r="K61" s="9" t="str">
        <f aca="false">IF(J61="","",IF(B61-IF(J61="Grade K",0,VALUE(SUBSTITUTE(J61,"Grade ","")))&lt;=0,"On/above grade",IF(B61-IF(J61="Grade K",0,VALUE(SUBSTITUTE(J61,"Grade ","")))=1,"1 grade below",IF(B61-IF(J61="Grade K",0,VALUE(SUBSTITUTE(J61,"Grade ","")))=2,"2 grades below","3+ grades below"))))</f>
        <v>3+ grades below</v>
      </c>
      <c r="L61" s="4" t="s">
        <v>196</v>
      </c>
      <c r="M61" s="4" t="s">
        <v>196</v>
      </c>
      <c r="N61" s="4" t="s">
        <v>196</v>
      </c>
      <c r="O61" s="2"/>
    </row>
    <row r="62" customFormat="false" ht="15" hidden="false" customHeight="false" outlineLevel="0" collapsed="false">
      <c r="A62" s="5" t="str">
        <f aca="false">IFERROR(INDEX(Roster!$A$3:$A$148,MATCH(60,Roster!$D$3:$D$148,0)),"")</f>
        <v>S-113</v>
      </c>
      <c r="B62" s="5" t="n">
        <f aca="false">IFERROR(INDEX(Roster!$B$3:$B$148,MATCH(60,Roster!$D$3:$D$148,0)),"")</f>
        <v>8</v>
      </c>
      <c r="C62" s="5" t="str">
        <f aca="false">IF(A62="","",IF(ROW()-3&lt;$F$1,"Group A",IF(ROW()-3&lt;2*$F$1,"Group B","Group C")))</f>
        <v>Group C</v>
      </c>
      <c r="D62" s="4" t="s">
        <v>192</v>
      </c>
      <c r="E62" s="4" t="n">
        <v>549</v>
      </c>
      <c r="F62" s="4" t="s">
        <v>197</v>
      </c>
      <c r="G62" s="9" t="str">
        <f aca="false">IF(F62="","",IF(B62-IF(F62="Grade K",0,VALUE(SUBSTITUTE(F62,"Grade ","")))&lt;=0,"On/above grade",IF(B62-IF(F62="Grade K",0,VALUE(SUBSTITUTE(F62,"Grade ","")))=1,"1 grade below",IF(B62-IF(F62="Grade K",0,VALUE(SUBSTITUTE(F62,"Grade ","")))=2,"2 grades below","3+ grades below"))))</f>
        <v>3+ grades below</v>
      </c>
      <c r="H62" s="4" t="s">
        <v>192</v>
      </c>
      <c r="I62" s="4" t="n">
        <v>641</v>
      </c>
      <c r="J62" s="4" t="s">
        <v>200</v>
      </c>
      <c r="K62" s="9" t="str">
        <f aca="false">IF(J62="","",IF(B62-IF(J62="Grade K",0,VALUE(SUBSTITUTE(J62,"Grade ","")))&lt;=0,"On/above grade",IF(B62-IF(J62="Grade K",0,VALUE(SUBSTITUTE(J62,"Grade ","")))=1,"1 grade below",IF(B62-IF(J62="Grade K",0,VALUE(SUBSTITUTE(J62,"Grade ","")))=2,"2 grades below","3+ grades below"))))</f>
        <v>1 grade below</v>
      </c>
      <c r="L62" s="4" t="s">
        <v>196</v>
      </c>
      <c r="M62" s="4" t="s">
        <v>196</v>
      </c>
      <c r="N62" s="4" t="s">
        <v>195</v>
      </c>
      <c r="O62" s="2"/>
    </row>
    <row r="63" customFormat="false" ht="15" hidden="false" customHeight="false" outlineLevel="0" collapsed="false">
      <c r="A63" s="5" t="str">
        <f aca="false">IFERROR(INDEX(Roster!$A$3:$A$148,MATCH(61,Roster!$D$3:$D$148,0)),"")</f>
        <v>S-114</v>
      </c>
      <c r="B63" s="5" t="n">
        <f aca="false">IFERROR(INDEX(Roster!$B$3:$B$148,MATCH(61,Roster!$D$3:$D$148,0)),"")</f>
        <v>8</v>
      </c>
      <c r="C63" s="5" t="str">
        <f aca="false">IF(A63="","",IF(ROW()-3&lt;$F$1,"Group A",IF(ROW()-3&lt;2*$F$1,"Group B","Group C")))</f>
        <v>Group C</v>
      </c>
      <c r="D63" s="4" t="s">
        <v>192</v>
      </c>
      <c r="E63" s="4" t="n">
        <v>589</v>
      </c>
      <c r="F63" s="4" t="s">
        <v>194</v>
      </c>
      <c r="G63" s="9" t="str">
        <f aca="false">IF(F63="","",IF(B63-IF(F63="Grade K",0,VALUE(SUBSTITUTE(F63,"Grade ","")))&lt;=0,"On/above grade",IF(B63-IF(F63="Grade K",0,VALUE(SUBSTITUTE(F63,"Grade ","")))=1,"1 grade below",IF(B63-IF(F63="Grade K",0,VALUE(SUBSTITUTE(F63,"Grade ","")))=2,"2 grades below","3+ grades below"))))</f>
        <v>2 grades below</v>
      </c>
      <c r="H63" s="4" t="s">
        <v>192</v>
      </c>
      <c r="I63" s="4" t="n">
        <v>645</v>
      </c>
      <c r="J63" s="4" t="s">
        <v>193</v>
      </c>
      <c r="K63" s="9" t="str">
        <f aca="false">IF(J63="","",IF(B63-IF(J63="Grade K",0,VALUE(SUBSTITUTE(J63,"Grade ","")))&lt;=0,"On/above grade",IF(B63-IF(J63="Grade K",0,VALUE(SUBSTITUTE(J63,"Grade ","")))=1,"1 grade below",IF(B63-IF(J63="Grade K",0,VALUE(SUBSTITUTE(J63,"Grade ","")))=2,"2 grades below","3+ grades below"))))</f>
        <v>On/above grade</v>
      </c>
      <c r="L63" s="4" t="s">
        <v>196</v>
      </c>
      <c r="M63" s="4" t="s">
        <v>196</v>
      </c>
      <c r="N63" s="4" t="s">
        <v>196</v>
      </c>
      <c r="O63" s="2"/>
    </row>
    <row r="64" customFormat="false" ht="15" hidden="false" customHeight="false" outlineLevel="0" collapsed="false">
      <c r="A64" s="5" t="str">
        <f aca="false">IFERROR(INDEX(Roster!$A$3:$A$148,MATCH(62,Roster!$D$3:$D$148,0)),"")</f>
        <v>S-116</v>
      </c>
      <c r="B64" s="5" t="n">
        <f aca="false">IFERROR(INDEX(Roster!$B$3:$B$148,MATCH(62,Roster!$D$3:$D$148,0)),"")</f>
        <v>8</v>
      </c>
      <c r="C64" s="5" t="str">
        <f aca="false">IF(A64="","",IF(ROW()-3&lt;$F$1,"Group A",IF(ROW()-3&lt;2*$F$1,"Group B","Group C")))</f>
        <v>Group C</v>
      </c>
      <c r="D64" s="4" t="s">
        <v>192</v>
      </c>
      <c r="E64" s="4" t="n">
        <v>576</v>
      </c>
      <c r="F64" s="4" t="s">
        <v>194</v>
      </c>
      <c r="G64" s="9" t="str">
        <f aca="false">IF(F64="","",IF(B64-IF(F64="Grade K",0,VALUE(SUBSTITUTE(F64,"Grade ","")))&lt;=0,"On/above grade",IF(B64-IF(F64="Grade K",0,VALUE(SUBSTITUTE(F64,"Grade ","")))=1,"1 grade below",IF(B64-IF(F64="Grade K",0,VALUE(SUBSTITUTE(F64,"Grade ","")))=2,"2 grades below","3+ grades below"))))</f>
        <v>2 grades below</v>
      </c>
      <c r="H64" s="4" t="s">
        <v>192</v>
      </c>
      <c r="I64" s="4" t="n">
        <v>585</v>
      </c>
      <c r="J64" s="4" t="s">
        <v>194</v>
      </c>
      <c r="K64" s="9" t="str">
        <f aca="false">IF(J64="","",IF(B64-IF(J64="Grade K",0,VALUE(SUBSTITUTE(J64,"Grade ","")))&lt;=0,"On/above grade",IF(B64-IF(J64="Grade K",0,VALUE(SUBSTITUTE(J64,"Grade ","")))=1,"1 grade below",IF(B64-IF(J64="Grade K",0,VALUE(SUBSTITUTE(J64,"Grade ","")))=2,"2 grades below","3+ grades below"))))</f>
        <v>2 grades below</v>
      </c>
      <c r="L64" s="4" t="s">
        <v>195</v>
      </c>
      <c r="M64" s="4" t="s">
        <v>196</v>
      </c>
      <c r="N64" s="4" t="s">
        <v>199</v>
      </c>
      <c r="O64" s="2"/>
    </row>
    <row r="65" customFormat="false" ht="15" hidden="false" customHeight="false" outlineLevel="0" collapsed="false">
      <c r="A65" s="5" t="str">
        <f aca="false">IFERROR(INDEX(Roster!$A$3:$A$148,MATCH(63,Roster!$D$3:$D$148,0)),"")</f>
        <v>S-118</v>
      </c>
      <c r="B65" s="5" t="n">
        <f aca="false">IFERROR(INDEX(Roster!$B$3:$B$148,MATCH(63,Roster!$D$3:$D$148,0)),"")</f>
        <v>5</v>
      </c>
      <c r="C65" s="5" t="str">
        <f aca="false">IF(A65="","",IF(ROW()-3&lt;$F$1,"Group A",IF(ROW()-3&lt;2*$F$1,"Group B","Group C")))</f>
        <v>Group C</v>
      </c>
      <c r="D65" s="4" t="s">
        <v>192</v>
      </c>
      <c r="E65" s="4" t="n">
        <v>522</v>
      </c>
      <c r="F65" s="4" t="s">
        <v>202</v>
      </c>
      <c r="G65" s="9" t="str">
        <f aca="false">IF(F65="","",IF(B65-IF(F65="Grade K",0,VALUE(SUBSTITUTE(F65,"Grade ","")))&lt;=0,"On/above grade",IF(B65-IF(F65="Grade K",0,VALUE(SUBSTITUTE(F65,"Grade ","")))=1,"1 grade below",IF(B65-IF(F65="Grade K",0,VALUE(SUBSTITUTE(F65,"Grade ","")))=2,"2 grades below","3+ grades below"))))</f>
        <v>1 grade below</v>
      </c>
      <c r="H65" s="4" t="s">
        <v>192</v>
      </c>
      <c r="I65" s="4" t="n">
        <v>403</v>
      </c>
      <c r="J65" s="4" t="s">
        <v>203</v>
      </c>
      <c r="K65" s="9" t="str">
        <f aca="false">IF(J65="","",IF(B65-IF(J65="Grade K",0,VALUE(SUBSTITUTE(J65,"Grade ","")))&lt;=0,"On/above grade",IF(B65-IF(J65="Grade K",0,VALUE(SUBSTITUTE(J65,"Grade ","")))=1,"1 grade below",IF(B65-IF(J65="Grade K",0,VALUE(SUBSTITUTE(J65,"Grade ","")))=2,"2 grades below","3+ grades below"))))</f>
        <v>3+ grades below</v>
      </c>
      <c r="L65" s="4" t="s">
        <v>196</v>
      </c>
      <c r="M65" s="4" t="s">
        <v>196</v>
      </c>
      <c r="N65" s="4" t="s">
        <v>195</v>
      </c>
      <c r="O65" s="2"/>
    </row>
    <row r="66" customFormat="false" ht="15" hidden="false" customHeight="false" outlineLevel="0" collapsed="false">
      <c r="A66" s="5" t="str">
        <f aca="false">IFERROR(INDEX(Roster!$A$3:$A$148,MATCH(64,Roster!$D$3:$D$148,0)),"")</f>
        <v>S-121</v>
      </c>
      <c r="B66" s="5" t="n">
        <f aca="false">IFERROR(INDEX(Roster!$B$3:$B$148,MATCH(64,Roster!$D$3:$D$148,0)),"")</f>
        <v>5</v>
      </c>
      <c r="C66" s="5" t="str">
        <f aca="false">IF(A66="","",IF(ROW()-3&lt;$F$1,"Group A",IF(ROW()-3&lt;2*$F$1,"Group B","Group C")))</f>
        <v>Group C</v>
      </c>
      <c r="D66" s="4" t="s">
        <v>192</v>
      </c>
      <c r="E66" s="4" t="n">
        <v>456</v>
      </c>
      <c r="F66" s="4" t="s">
        <v>198</v>
      </c>
      <c r="G66" s="9" t="str">
        <f aca="false">IF(F66="","",IF(B66-IF(F66="Grade K",0,VALUE(SUBSTITUTE(F66,"Grade ","")))&lt;=0,"On/above grade",IF(B66-IF(F66="Grade K",0,VALUE(SUBSTITUTE(F66,"Grade ","")))=1,"1 grade below",IF(B66-IF(F66="Grade K",0,VALUE(SUBSTITUTE(F66,"Grade ","")))=2,"2 grades below","3+ grades below"))))</f>
        <v>3+ grades below</v>
      </c>
      <c r="H66" s="4" t="s">
        <v>192</v>
      </c>
      <c r="I66" s="4" t="n">
        <v>417</v>
      </c>
      <c r="J66" s="4" t="s">
        <v>203</v>
      </c>
      <c r="K66" s="9" t="str">
        <f aca="false">IF(J66="","",IF(B66-IF(J66="Grade K",0,VALUE(SUBSTITUTE(J66,"Grade ","")))&lt;=0,"On/above grade",IF(B66-IF(J66="Grade K",0,VALUE(SUBSTITUTE(J66,"Grade ","")))=1,"1 grade below",IF(B66-IF(J66="Grade K",0,VALUE(SUBSTITUTE(J66,"Grade ","")))=2,"2 grades below","3+ grades below"))))</f>
        <v>3+ grades below</v>
      </c>
      <c r="L66" s="4" t="s">
        <v>195</v>
      </c>
      <c r="M66" s="4" t="s">
        <v>195</v>
      </c>
      <c r="N66" s="4" t="s">
        <v>195</v>
      </c>
      <c r="O66" s="2"/>
    </row>
    <row r="67" customFormat="false" ht="15" hidden="false" customHeight="false" outlineLevel="0" collapsed="false">
      <c r="A67" s="5" t="str">
        <f aca="false">IFERROR(INDEX(Roster!$A$3:$A$148,MATCH(65,Roster!$D$3:$D$148,0)),"")</f>
        <v>S-122</v>
      </c>
      <c r="B67" s="5" t="n">
        <f aca="false">IFERROR(INDEX(Roster!$B$3:$B$148,MATCH(65,Roster!$D$3:$D$148,0)),"")</f>
        <v>5</v>
      </c>
      <c r="C67" s="5" t="str">
        <f aca="false">IF(A67="","",IF(ROW()-3&lt;$F$1,"Group A",IF(ROW()-3&lt;2*$F$1,"Group B","Group C")))</f>
        <v>Group C</v>
      </c>
      <c r="D67" s="4" t="s">
        <v>204</v>
      </c>
      <c r="E67" s="2"/>
      <c r="F67" s="2"/>
      <c r="G67" s="9" t="str">
        <f aca="false">IF(F67="","",IF(B67-IF(F67="Grade K",0,VALUE(SUBSTITUTE(F67,"Grade ","")))&lt;=0,"On/above grade",IF(B67-IF(F67="Grade K",0,VALUE(SUBSTITUTE(F67,"Grade ","")))=1,"1 grade below",IF(B67-IF(F67="Grade K",0,VALUE(SUBSTITUTE(F67,"Grade ","")))=2,"2 grades below","3+ grades below"))))</f>
        <v/>
      </c>
      <c r="H67" s="4" t="s">
        <v>199</v>
      </c>
      <c r="I67" s="2"/>
      <c r="J67" s="2"/>
      <c r="K67" s="9" t="str">
        <f aca="false">IF(J67="","",IF(B67-IF(J67="Grade K",0,VALUE(SUBSTITUTE(J67,"Grade ","")))&lt;=0,"On/above grade",IF(B67-IF(J67="Grade K",0,VALUE(SUBSTITUTE(J67,"Grade ","")))=1,"1 grade below",IF(B67-IF(J67="Grade K",0,VALUE(SUBSTITUTE(J67,"Grade ","")))=2,"2 grades below","3+ grades below"))))</f>
        <v/>
      </c>
      <c r="L67" s="4" t="s">
        <v>195</v>
      </c>
      <c r="M67" s="4" t="s">
        <v>196</v>
      </c>
      <c r="N67" s="4" t="s">
        <v>195</v>
      </c>
      <c r="O67" s="2"/>
    </row>
    <row r="68" customFormat="false" ht="15" hidden="false" customHeight="false" outlineLevel="0" collapsed="false">
      <c r="A68" s="5" t="str">
        <f aca="false">IFERROR(INDEX(Roster!$A$3:$A$148,MATCH(66,Roster!$D$3:$D$148,0)),"")</f>
        <v>S-123</v>
      </c>
      <c r="B68" s="5" t="n">
        <f aca="false">IFERROR(INDEX(Roster!$B$3:$B$148,MATCH(66,Roster!$D$3:$D$148,0)),"")</f>
        <v>8</v>
      </c>
      <c r="C68" s="5" t="str">
        <f aca="false">IF(A68="","",IF(ROW()-3&lt;$F$1,"Group A",IF(ROW()-3&lt;2*$F$1,"Group B","Group C")))</f>
        <v>Group C</v>
      </c>
      <c r="D68" s="4" t="s">
        <v>192</v>
      </c>
      <c r="E68" s="4" t="n">
        <v>631</v>
      </c>
      <c r="F68" s="4" t="s">
        <v>200</v>
      </c>
      <c r="G68" s="9" t="str">
        <f aca="false">IF(F68="","",IF(B68-IF(F68="Grade K",0,VALUE(SUBSTITUTE(F68,"Grade ","")))&lt;=0,"On/above grade",IF(B68-IF(F68="Grade K",0,VALUE(SUBSTITUTE(F68,"Grade ","")))=1,"1 grade below",IF(B68-IF(F68="Grade K",0,VALUE(SUBSTITUTE(F68,"Grade ","")))=2,"2 grades below","3+ grades below"))))</f>
        <v>1 grade below</v>
      </c>
      <c r="H68" s="4" t="s">
        <v>199</v>
      </c>
      <c r="I68" s="2"/>
      <c r="J68" s="2"/>
      <c r="K68" s="9" t="str">
        <f aca="false">IF(J68="","",IF(B68-IF(J68="Grade K",0,VALUE(SUBSTITUTE(J68,"Grade ","")))&lt;=0,"On/above grade",IF(B68-IF(J68="Grade K",0,VALUE(SUBSTITUTE(J68,"Grade ","")))=1,"1 grade below",IF(B68-IF(J68="Grade K",0,VALUE(SUBSTITUTE(J68,"Grade ","")))=2,"2 grades below","3+ grades below"))))</f>
        <v/>
      </c>
      <c r="L68" s="4" t="s">
        <v>196</v>
      </c>
      <c r="M68" s="4" t="s">
        <v>196</v>
      </c>
      <c r="N68" s="4" t="s">
        <v>195</v>
      </c>
      <c r="O68" s="2"/>
    </row>
    <row r="69" customFormat="false" ht="15" hidden="false" customHeight="false" outlineLevel="0" collapsed="false">
      <c r="A69" s="5" t="str">
        <f aca="false">IFERROR(INDEX(Roster!$A$3:$A$148,MATCH(67,Roster!$D$3:$D$148,0)),"")</f>
        <v>S-124</v>
      </c>
      <c r="B69" s="5" t="n">
        <f aca="false">IFERROR(INDEX(Roster!$B$3:$B$148,MATCH(67,Roster!$D$3:$D$148,0)),"")</f>
        <v>5</v>
      </c>
      <c r="C69" s="5" t="str">
        <f aca="false">IF(A69="","",IF(ROW()-3&lt;$F$1,"Group A",IF(ROW()-3&lt;2*$F$1,"Group B","Group C")))</f>
        <v>Group C</v>
      </c>
      <c r="D69" s="4" t="s">
        <v>192</v>
      </c>
      <c r="E69" s="4" t="n">
        <v>524</v>
      </c>
      <c r="F69" s="4" t="s">
        <v>202</v>
      </c>
      <c r="G69" s="9" t="str">
        <f aca="false">IF(F69="","",IF(B69-IF(F69="Grade K",0,VALUE(SUBSTITUTE(F69,"Grade ","")))&lt;=0,"On/above grade",IF(B69-IF(F69="Grade K",0,VALUE(SUBSTITUTE(F69,"Grade ","")))=1,"1 grade below",IF(B69-IF(F69="Grade K",0,VALUE(SUBSTITUTE(F69,"Grade ","")))=2,"2 grades below","3+ grades below"))))</f>
        <v>1 grade below</v>
      </c>
      <c r="H69" s="4" t="s">
        <v>192</v>
      </c>
      <c r="I69" s="4" t="n">
        <v>538</v>
      </c>
      <c r="J69" s="4" t="s">
        <v>197</v>
      </c>
      <c r="K69" s="9" t="str">
        <f aca="false">IF(J69="","",IF(B69-IF(J69="Grade K",0,VALUE(SUBSTITUTE(J69,"Grade ","")))&lt;=0,"On/above grade",IF(B69-IF(J69="Grade K",0,VALUE(SUBSTITUTE(J69,"Grade ","")))=1,"1 grade below",IF(B69-IF(J69="Grade K",0,VALUE(SUBSTITUTE(J69,"Grade ","")))=2,"2 grades below","3+ grades below"))))</f>
        <v>On/above grade</v>
      </c>
      <c r="L69" s="4" t="s">
        <v>196</v>
      </c>
      <c r="M69" s="4" t="s">
        <v>195</v>
      </c>
      <c r="N69" s="4" t="s">
        <v>196</v>
      </c>
      <c r="O69" s="2"/>
    </row>
    <row r="70" customFormat="false" ht="15" hidden="false" customHeight="false" outlineLevel="0" collapsed="false">
      <c r="A70" s="5" t="str">
        <f aca="false">IFERROR(INDEX(Roster!$A$3:$A$148,MATCH(68,Roster!$D$3:$D$148,0)),"")</f>
        <v>S-126</v>
      </c>
      <c r="B70" s="5" t="n">
        <f aca="false">IFERROR(INDEX(Roster!$B$3:$B$148,MATCH(68,Roster!$D$3:$D$148,0)),"")</f>
        <v>5</v>
      </c>
      <c r="C70" s="5" t="str">
        <f aca="false">IF(A70="","",IF(ROW()-3&lt;$F$1,"Group A",IF(ROW()-3&lt;2*$F$1,"Group B","Group C")))</f>
        <v>Group C</v>
      </c>
      <c r="D70" s="4" t="s">
        <v>192</v>
      </c>
      <c r="E70" s="4" t="n">
        <v>433</v>
      </c>
      <c r="F70" s="4" t="s">
        <v>198</v>
      </c>
      <c r="G70" s="9" t="str">
        <f aca="false">IF(F70="","",IF(B70-IF(F70="Grade K",0,VALUE(SUBSTITUTE(F70,"Grade ","")))&lt;=0,"On/above grade",IF(B70-IF(F70="Grade K",0,VALUE(SUBSTITUTE(F70,"Grade ","")))=1,"1 grade below",IF(B70-IF(F70="Grade K",0,VALUE(SUBSTITUTE(F70,"Grade ","")))=2,"2 grades below","3+ grades below"))))</f>
        <v>3+ grades below</v>
      </c>
      <c r="H70" s="4" t="s">
        <v>192</v>
      </c>
      <c r="I70" s="4" t="n">
        <v>565</v>
      </c>
      <c r="J70" s="4" t="s">
        <v>197</v>
      </c>
      <c r="K70" s="9" t="str">
        <f aca="false">IF(J70="","",IF(B70-IF(J70="Grade K",0,VALUE(SUBSTITUTE(J70,"Grade ","")))&lt;=0,"On/above grade",IF(B70-IF(J70="Grade K",0,VALUE(SUBSTITUTE(J70,"Grade ","")))=1,"1 grade below",IF(B70-IF(J70="Grade K",0,VALUE(SUBSTITUTE(J70,"Grade ","")))=2,"2 grades below","3+ grades below"))))</f>
        <v>On/above grade</v>
      </c>
      <c r="L70" s="4" t="s">
        <v>199</v>
      </c>
      <c r="M70" s="4" t="s">
        <v>196</v>
      </c>
      <c r="N70" s="4" t="s">
        <v>196</v>
      </c>
      <c r="O70" s="2"/>
    </row>
    <row r="71" customFormat="false" ht="15" hidden="false" customHeight="false" outlineLevel="0" collapsed="false">
      <c r="A71" s="5" t="str">
        <f aca="false">IFERROR(INDEX(Roster!$A$3:$A$148,MATCH(69,Roster!$D$3:$D$148,0)),"")</f>
        <v>S-128</v>
      </c>
      <c r="B71" s="5" t="n">
        <f aca="false">IFERROR(INDEX(Roster!$B$3:$B$148,MATCH(69,Roster!$D$3:$D$148,0)),"")</f>
        <v>5</v>
      </c>
      <c r="C71" s="5" t="str">
        <f aca="false">IF(A71="","",IF(ROW()-3&lt;$F$1,"Group A",IF(ROW()-3&lt;2*$F$1,"Group B","Group C")))</f>
        <v>Group C</v>
      </c>
      <c r="D71" s="4" t="s">
        <v>192</v>
      </c>
      <c r="E71" s="4" t="n">
        <v>550</v>
      </c>
      <c r="F71" s="4" t="s">
        <v>197</v>
      </c>
      <c r="G71" s="9" t="str">
        <f aca="false">IF(F71="","",IF(B71-IF(F71="Grade K",0,VALUE(SUBSTITUTE(F71,"Grade ","")))&lt;=0,"On/above grade",IF(B71-IF(F71="Grade K",0,VALUE(SUBSTITUTE(F71,"Grade ","")))=1,"1 grade below",IF(B71-IF(F71="Grade K",0,VALUE(SUBSTITUTE(F71,"Grade ","")))=2,"2 grades below","3+ grades below"))))</f>
        <v>On/above grade</v>
      </c>
      <c r="H71" s="4" t="s">
        <v>192</v>
      </c>
      <c r="I71" s="4" t="n">
        <v>532</v>
      </c>
      <c r="J71" s="4" t="s">
        <v>202</v>
      </c>
      <c r="K71" s="9" t="str">
        <f aca="false">IF(J71="","",IF(B71-IF(J71="Grade K",0,VALUE(SUBSTITUTE(J71,"Grade ","")))&lt;=0,"On/above grade",IF(B71-IF(J71="Grade K",0,VALUE(SUBSTITUTE(J71,"Grade ","")))=1,"1 grade below",IF(B71-IF(J71="Grade K",0,VALUE(SUBSTITUTE(J71,"Grade ","")))=2,"2 grades below","3+ grades below"))))</f>
        <v>1 grade below</v>
      </c>
      <c r="L71" s="4" t="s">
        <v>196</v>
      </c>
      <c r="M71" s="4" t="s">
        <v>196</v>
      </c>
      <c r="N71" s="4" t="s">
        <v>196</v>
      </c>
      <c r="O71" s="2"/>
    </row>
    <row r="72" customFormat="false" ht="15" hidden="false" customHeight="false" outlineLevel="0" collapsed="false">
      <c r="A72" s="5" t="str">
        <f aca="false">IFERROR(INDEX(Roster!$A$3:$A$148,MATCH(70,Roster!$D$3:$D$148,0)),"")</f>
        <v>S-131</v>
      </c>
      <c r="B72" s="5" t="n">
        <f aca="false">IFERROR(INDEX(Roster!$B$3:$B$148,MATCH(70,Roster!$D$3:$D$148,0)),"")</f>
        <v>8</v>
      </c>
      <c r="C72" s="5" t="str">
        <f aca="false">IF(A72="","",IF(ROW()-3&lt;$F$1,"Group A",IF(ROW()-3&lt;2*$F$1,"Group B","Group C")))</f>
        <v>Group C</v>
      </c>
      <c r="D72" s="4" t="s">
        <v>192</v>
      </c>
      <c r="E72" s="4" t="n">
        <v>589</v>
      </c>
      <c r="F72" s="4" t="s">
        <v>194</v>
      </c>
      <c r="G72" s="9" t="str">
        <f aca="false">IF(F72="","",IF(B72-IF(F72="Grade K",0,VALUE(SUBSTITUTE(F72,"Grade ","")))&lt;=0,"On/above grade",IF(B72-IF(F72="Grade K",0,VALUE(SUBSTITUTE(F72,"Grade ","")))=1,"1 grade below",IF(B72-IF(F72="Grade K",0,VALUE(SUBSTITUTE(F72,"Grade ","")))=2,"2 grades below","3+ grades below"))))</f>
        <v>2 grades below</v>
      </c>
      <c r="H72" s="4" t="s">
        <v>192</v>
      </c>
      <c r="I72" s="4" t="n">
        <v>535</v>
      </c>
      <c r="J72" s="4" t="s">
        <v>202</v>
      </c>
      <c r="K72" s="9" t="str">
        <f aca="false">IF(J72="","",IF(B72-IF(J72="Grade K",0,VALUE(SUBSTITUTE(J72,"Grade ","")))&lt;=0,"On/above grade",IF(B72-IF(J72="Grade K",0,VALUE(SUBSTITUTE(J72,"Grade ","")))=1,"1 grade below",IF(B72-IF(J72="Grade K",0,VALUE(SUBSTITUTE(J72,"Grade ","")))=2,"2 grades below","3+ grades below"))))</f>
        <v>3+ grades below</v>
      </c>
      <c r="L72" s="4" t="s">
        <v>196</v>
      </c>
      <c r="M72" s="4" t="s">
        <v>196</v>
      </c>
      <c r="N72" s="4" t="s">
        <v>195</v>
      </c>
      <c r="O72" s="2"/>
    </row>
    <row r="73" customFormat="false" ht="15" hidden="false" customHeight="false" outlineLevel="0" collapsed="false">
      <c r="A73" s="5" t="str">
        <f aca="false">IFERROR(INDEX(Roster!$A$3:$A$148,MATCH(71,Roster!$D$3:$D$148,0)),"")</f>
        <v>S-132</v>
      </c>
      <c r="B73" s="5" t="n">
        <f aca="false">IFERROR(INDEX(Roster!$B$3:$B$148,MATCH(71,Roster!$D$3:$D$148,0)),"")</f>
        <v>5</v>
      </c>
      <c r="C73" s="5" t="str">
        <f aca="false">IF(A73="","",IF(ROW()-3&lt;$F$1,"Group A",IF(ROW()-3&lt;2*$F$1,"Group B","Group C")))</f>
        <v>Group C</v>
      </c>
      <c r="D73" s="4" t="s">
        <v>199</v>
      </c>
      <c r="E73" s="2"/>
      <c r="F73" s="2"/>
      <c r="G73" s="9" t="str">
        <f aca="false">IF(F73="","",IF(B73-IF(F73="Grade K",0,VALUE(SUBSTITUTE(F73,"Grade ","")))&lt;=0,"On/above grade",IF(B73-IF(F73="Grade K",0,VALUE(SUBSTITUTE(F73,"Grade ","")))=1,"1 grade below",IF(B73-IF(F73="Grade K",0,VALUE(SUBSTITUTE(F73,"Grade ","")))=2,"2 grades below","3+ grades below"))))</f>
        <v/>
      </c>
      <c r="H73" s="4" t="s">
        <v>192</v>
      </c>
      <c r="I73" s="4" t="n">
        <v>505</v>
      </c>
      <c r="J73" s="4" t="s">
        <v>202</v>
      </c>
      <c r="K73" s="9" t="str">
        <f aca="false">IF(J73="","",IF(B73-IF(J73="Grade K",0,VALUE(SUBSTITUTE(J73,"Grade ","")))&lt;=0,"On/above grade",IF(B73-IF(J73="Grade K",0,VALUE(SUBSTITUTE(J73,"Grade ","")))=1,"1 grade below",IF(B73-IF(J73="Grade K",0,VALUE(SUBSTITUTE(J73,"Grade ","")))=2,"2 grades below","3+ grades below"))))</f>
        <v>1 grade below</v>
      </c>
      <c r="L73" s="4" t="s">
        <v>196</v>
      </c>
      <c r="M73" s="4" t="s">
        <v>196</v>
      </c>
      <c r="N73" s="4" t="s">
        <v>196</v>
      </c>
      <c r="O73" s="2"/>
    </row>
    <row r="74" customFormat="false" ht="15" hidden="false" customHeight="false" outlineLevel="0" collapsed="false">
      <c r="A74" s="5" t="str">
        <f aca="false">IFERROR(INDEX(Roster!$A$3:$A$148,MATCH(72,Roster!$D$3:$D$148,0)),"")</f>
        <v>S-133</v>
      </c>
      <c r="B74" s="5" t="n">
        <f aca="false">IFERROR(INDEX(Roster!$B$3:$B$148,MATCH(72,Roster!$D$3:$D$148,0)),"")</f>
        <v>5</v>
      </c>
      <c r="C74" s="5" t="str">
        <f aca="false">IF(A74="","",IF(ROW()-3&lt;$F$1,"Group A",IF(ROW()-3&lt;2*$F$1,"Group B","Group C")))</f>
        <v>Group C</v>
      </c>
      <c r="D74" s="4" t="s">
        <v>199</v>
      </c>
      <c r="E74" s="2"/>
      <c r="F74" s="2"/>
      <c r="G74" s="9" t="str">
        <f aca="false">IF(F74="","",IF(B74-IF(F74="Grade K",0,VALUE(SUBSTITUTE(F74,"Grade ","")))&lt;=0,"On/above grade",IF(B74-IF(F74="Grade K",0,VALUE(SUBSTITUTE(F74,"Grade ","")))=1,"1 grade below",IF(B74-IF(F74="Grade K",0,VALUE(SUBSTITUTE(F74,"Grade ","")))=2,"2 grades below","3+ grades below"))))</f>
        <v/>
      </c>
      <c r="H74" s="4" t="s">
        <v>192</v>
      </c>
      <c r="I74" s="4" t="n">
        <v>533</v>
      </c>
      <c r="J74" s="4" t="s">
        <v>202</v>
      </c>
      <c r="K74" s="9" t="str">
        <f aca="false">IF(J74="","",IF(B74-IF(J74="Grade K",0,VALUE(SUBSTITUTE(J74,"Grade ","")))&lt;=0,"On/above grade",IF(B74-IF(J74="Grade K",0,VALUE(SUBSTITUTE(J74,"Grade ","")))=1,"1 grade below",IF(B74-IF(J74="Grade K",0,VALUE(SUBSTITUTE(J74,"Grade ","")))=2,"2 grades below","3+ grades below"))))</f>
        <v>1 grade below</v>
      </c>
      <c r="L74" s="4" t="s">
        <v>195</v>
      </c>
      <c r="M74" s="4" t="s">
        <v>195</v>
      </c>
      <c r="N74" s="4" t="s">
        <v>195</v>
      </c>
      <c r="O74" s="2"/>
    </row>
    <row r="75" customFormat="false" ht="15" hidden="false" customHeight="false" outlineLevel="0" collapsed="false">
      <c r="A75" s="5" t="str">
        <f aca="false">IFERROR(INDEX(Roster!$A$3:$A$148,MATCH(73,Roster!$D$3:$D$148,0)),"")</f>
        <v>S-136</v>
      </c>
      <c r="B75" s="5" t="n">
        <f aca="false">IFERROR(INDEX(Roster!$B$3:$B$148,MATCH(73,Roster!$D$3:$D$148,0)),"")</f>
        <v>5</v>
      </c>
      <c r="C75" s="5" t="str">
        <f aca="false">IF(A75="","",IF(ROW()-3&lt;$F$1,"Group A",IF(ROW()-3&lt;2*$F$1,"Group B","Group C")))</f>
        <v>Group C</v>
      </c>
      <c r="D75" s="4" t="s">
        <v>192</v>
      </c>
      <c r="E75" s="4" t="n">
        <v>430</v>
      </c>
      <c r="F75" s="4" t="s">
        <v>198</v>
      </c>
      <c r="G75" s="9" t="str">
        <f aca="false">IF(F75="","",IF(B75-IF(F75="Grade K",0,VALUE(SUBSTITUTE(F75,"Grade ","")))&lt;=0,"On/above grade",IF(B75-IF(F75="Grade K",0,VALUE(SUBSTITUTE(F75,"Grade ","")))=1,"1 grade below",IF(B75-IF(F75="Grade K",0,VALUE(SUBSTITUTE(F75,"Grade ","")))=2,"2 grades below","3+ grades below"))))</f>
        <v>3+ grades below</v>
      </c>
      <c r="H75" s="4" t="s">
        <v>204</v>
      </c>
      <c r="I75" s="2"/>
      <c r="J75" s="2"/>
      <c r="K75" s="9" t="str">
        <f aca="false">IF(J75="","",IF(B75-IF(J75="Grade K",0,VALUE(SUBSTITUTE(J75,"Grade ","")))&lt;=0,"On/above grade",IF(B75-IF(J75="Grade K",0,VALUE(SUBSTITUTE(J75,"Grade ","")))=1,"1 grade below",IF(B75-IF(J75="Grade K",0,VALUE(SUBSTITUTE(J75,"Grade ","")))=2,"2 grades below","3+ grades below"))))</f>
        <v/>
      </c>
      <c r="L75" s="4" t="s">
        <v>199</v>
      </c>
      <c r="M75" s="4" t="s">
        <v>196</v>
      </c>
      <c r="N75" s="4" t="s">
        <v>196</v>
      </c>
      <c r="O75" s="2"/>
    </row>
    <row r="76" customFormat="false" ht="15" hidden="false" customHeight="false" outlineLevel="0" collapsed="false">
      <c r="A76" s="5" t="str">
        <f aca="false">IFERROR(INDEX(Roster!$A$3:$A$148,MATCH(74,Roster!$D$3:$D$148,0)),"")</f>
        <v>S-140</v>
      </c>
      <c r="B76" s="5" t="n">
        <f aca="false">IFERROR(INDEX(Roster!$B$3:$B$148,MATCH(74,Roster!$D$3:$D$148,0)),"")</f>
        <v>5</v>
      </c>
      <c r="C76" s="5" t="str">
        <f aca="false">IF(A76="","",IF(ROW()-3&lt;$F$1,"Group A",IF(ROW()-3&lt;2*$F$1,"Group B","Group C")))</f>
        <v>Group C</v>
      </c>
      <c r="D76" s="4" t="s">
        <v>192</v>
      </c>
      <c r="E76" s="4" t="n">
        <v>456</v>
      </c>
      <c r="F76" s="4" t="s">
        <v>198</v>
      </c>
      <c r="G76" s="9" t="str">
        <f aca="false">IF(F76="","",IF(B76-IF(F76="Grade K",0,VALUE(SUBSTITUTE(F76,"Grade ","")))&lt;=0,"On/above grade",IF(B76-IF(F76="Grade K",0,VALUE(SUBSTITUTE(F76,"Grade ","")))=1,"1 grade below",IF(B76-IF(F76="Grade K",0,VALUE(SUBSTITUTE(F76,"Grade ","")))=2,"2 grades below","3+ grades below"))))</f>
        <v>3+ grades below</v>
      </c>
      <c r="H76" s="4" t="s">
        <v>192</v>
      </c>
      <c r="I76" s="4" t="n">
        <v>516</v>
      </c>
      <c r="J76" s="4" t="s">
        <v>202</v>
      </c>
      <c r="K76" s="9" t="str">
        <f aca="false">IF(J76="","",IF(B76-IF(J76="Grade K",0,VALUE(SUBSTITUTE(J76,"Grade ","")))&lt;=0,"On/above grade",IF(B76-IF(J76="Grade K",0,VALUE(SUBSTITUTE(J76,"Grade ","")))=1,"1 grade below",IF(B76-IF(J76="Grade K",0,VALUE(SUBSTITUTE(J76,"Grade ","")))=2,"2 grades below","3+ grades below"))))</f>
        <v>1 grade below</v>
      </c>
      <c r="L76" s="4" t="s">
        <v>199</v>
      </c>
      <c r="M76" s="4" t="s">
        <v>195</v>
      </c>
      <c r="N76" s="4" t="s">
        <v>196</v>
      </c>
      <c r="O76" s="2"/>
    </row>
    <row r="77" customFormat="false" ht="15" hidden="false" customHeight="false" outlineLevel="0" collapsed="false">
      <c r="A77" s="5" t="str">
        <f aca="false">IFERROR(INDEX(Roster!$A$3:$A$148,MATCH(75,Roster!$D$3:$D$148,0)),"")</f>
        <v>S-141</v>
      </c>
      <c r="B77" s="5" t="n">
        <f aca="false">IFERROR(INDEX(Roster!$B$3:$B$148,MATCH(75,Roster!$D$3:$D$148,0)),"")</f>
        <v>5</v>
      </c>
      <c r="C77" s="5" t="str">
        <f aca="false">IF(A77="","",IF(ROW()-3&lt;$F$1,"Group A",IF(ROW()-3&lt;2*$F$1,"Group B","Group C")))</f>
        <v>Group C</v>
      </c>
      <c r="D77" s="4" t="s">
        <v>192</v>
      </c>
      <c r="E77" s="4" t="n">
        <v>498</v>
      </c>
      <c r="F77" s="4" t="s">
        <v>201</v>
      </c>
      <c r="G77" s="9" t="str">
        <f aca="false">IF(F77="","",IF(B77-IF(F77="Grade K",0,VALUE(SUBSTITUTE(F77,"Grade ","")))&lt;=0,"On/above grade",IF(B77-IF(F77="Grade K",0,VALUE(SUBSTITUTE(F77,"Grade ","")))=1,"1 grade below",IF(B77-IF(F77="Grade K",0,VALUE(SUBSTITUTE(F77,"Grade ","")))=2,"2 grades below","3+ grades below"))))</f>
        <v>2 grades below</v>
      </c>
      <c r="H77" s="4" t="s">
        <v>192</v>
      </c>
      <c r="I77" s="4" t="n">
        <v>546</v>
      </c>
      <c r="J77" s="4" t="s">
        <v>197</v>
      </c>
      <c r="K77" s="9" t="str">
        <f aca="false">IF(J77="","",IF(B77-IF(J77="Grade K",0,VALUE(SUBSTITUTE(J77,"Grade ","")))&lt;=0,"On/above grade",IF(B77-IF(J77="Grade K",0,VALUE(SUBSTITUTE(J77,"Grade ","")))=1,"1 grade below",IF(B77-IF(J77="Grade K",0,VALUE(SUBSTITUTE(J77,"Grade ","")))=2,"2 grades below","3+ grades below"))))</f>
        <v>On/above grade</v>
      </c>
      <c r="L77" s="4" t="s">
        <v>196</v>
      </c>
      <c r="M77" s="4" t="s">
        <v>195</v>
      </c>
      <c r="N77" s="4" t="s">
        <v>195</v>
      </c>
      <c r="O77" s="2"/>
    </row>
    <row r="78" customFormat="false" ht="15" hidden="false" customHeight="false" outlineLevel="0" collapsed="false">
      <c r="A78" s="5" t="str">
        <f aca="false">IFERROR(INDEX(Roster!$A$3:$A$148,MATCH(76,Roster!$D$3:$D$148,0)),"")</f>
        <v/>
      </c>
      <c r="B78" s="5" t="str">
        <f aca="false">IFERROR(INDEX(Roster!$B$3:$B$148,MATCH(76,Roster!$D$3:$D$148,0)),"")</f>
        <v/>
      </c>
      <c r="C78" s="5" t="str">
        <f aca="false">IF(A78="","",IF(ROW()-3&lt;$F$1,"Group A",IF(ROW()-3&lt;2*$F$1,"Group B","Group C")))</f>
        <v/>
      </c>
      <c r="D78" s="2"/>
      <c r="E78" s="2"/>
      <c r="F78" s="2"/>
      <c r="G78" s="9" t="str">
        <f aca="false">IF(F78="","",IF(B78-IF(F78="Grade K",0,VALUE(SUBSTITUTE(F78,"Grade ","")))&lt;=0,"On/above grade",IF(B78-IF(F78="Grade K",0,VALUE(SUBSTITUTE(F78,"Grade ","")))=1,"1 grade below",IF(B78-IF(F78="Grade K",0,VALUE(SUBSTITUTE(F78,"Grade ","")))=2,"2 grades below","3+ grades below"))))</f>
        <v/>
      </c>
      <c r="H78" s="2"/>
      <c r="I78" s="2"/>
      <c r="J78" s="2"/>
      <c r="K78" s="9" t="str">
        <f aca="false">IF(J78="","",IF(B78-IF(J78="Grade K",0,VALUE(SUBSTITUTE(J78,"Grade ","")))&lt;=0,"On/above grade",IF(B78-IF(J78="Grade K",0,VALUE(SUBSTITUTE(J78,"Grade ","")))=1,"1 grade below",IF(B78-IF(J78="Grade K",0,VALUE(SUBSTITUTE(J78,"Grade ","")))=2,"2 grades below","3+ grades below"))))</f>
        <v/>
      </c>
      <c r="L78" s="2"/>
      <c r="M78" s="2"/>
      <c r="N78" s="2"/>
      <c r="O78" s="2"/>
    </row>
    <row r="79" customFormat="false" ht="15" hidden="false" customHeight="false" outlineLevel="0" collapsed="false">
      <c r="A79" s="5" t="str">
        <f aca="false">IFERROR(INDEX(Roster!$A$3:$A$148,MATCH(77,Roster!$D$3:$D$148,0)),"")</f>
        <v/>
      </c>
      <c r="B79" s="5" t="str">
        <f aca="false">IFERROR(INDEX(Roster!$B$3:$B$148,MATCH(77,Roster!$D$3:$D$148,0)),"")</f>
        <v/>
      </c>
      <c r="C79" s="5" t="str">
        <f aca="false">IF(A79="","",IF(ROW()-3&lt;$F$1,"Group A",IF(ROW()-3&lt;2*$F$1,"Group B","Group C")))</f>
        <v/>
      </c>
      <c r="D79" s="2"/>
      <c r="E79" s="2"/>
      <c r="F79" s="2"/>
      <c r="G79" s="9" t="str">
        <f aca="false">IF(F79="","",IF(B79-IF(F79="Grade K",0,VALUE(SUBSTITUTE(F79,"Grade ","")))&lt;=0,"On/above grade",IF(B79-IF(F79="Grade K",0,VALUE(SUBSTITUTE(F79,"Grade ","")))=1,"1 grade below",IF(B79-IF(F79="Grade K",0,VALUE(SUBSTITUTE(F79,"Grade ","")))=2,"2 grades below","3+ grades below"))))</f>
        <v/>
      </c>
      <c r="H79" s="2"/>
      <c r="I79" s="2"/>
      <c r="J79" s="2"/>
      <c r="K79" s="9" t="str">
        <f aca="false">IF(J79="","",IF(B79-IF(J79="Grade K",0,VALUE(SUBSTITUTE(J79,"Grade ","")))&lt;=0,"On/above grade",IF(B79-IF(J79="Grade K",0,VALUE(SUBSTITUTE(J79,"Grade ","")))=1,"1 grade below",IF(B79-IF(J79="Grade K",0,VALUE(SUBSTITUTE(J79,"Grade ","")))=2,"2 grades below","3+ grades below"))))</f>
        <v/>
      </c>
      <c r="L79" s="2"/>
      <c r="M79" s="2"/>
      <c r="N79" s="2"/>
      <c r="O79" s="2"/>
    </row>
    <row r="80" customFormat="false" ht="15" hidden="false" customHeight="false" outlineLevel="0" collapsed="false">
      <c r="A80" s="5" t="str">
        <f aca="false">IFERROR(INDEX(Roster!$A$3:$A$148,MATCH(78,Roster!$D$3:$D$148,0)),"")</f>
        <v/>
      </c>
      <c r="B80" s="5" t="str">
        <f aca="false">IFERROR(INDEX(Roster!$B$3:$B$148,MATCH(78,Roster!$D$3:$D$148,0)),"")</f>
        <v/>
      </c>
      <c r="C80" s="5" t="str">
        <f aca="false">IF(A80="","",IF(ROW()-3&lt;$F$1,"Group A",IF(ROW()-3&lt;2*$F$1,"Group B","Group C")))</f>
        <v/>
      </c>
      <c r="D80" s="2"/>
      <c r="E80" s="2"/>
      <c r="F80" s="2"/>
      <c r="G80" s="9" t="str">
        <f aca="false">IF(F80="","",IF(B80-IF(F80="Grade K",0,VALUE(SUBSTITUTE(F80,"Grade ","")))&lt;=0,"On/above grade",IF(B80-IF(F80="Grade K",0,VALUE(SUBSTITUTE(F80,"Grade ","")))=1,"1 grade below",IF(B80-IF(F80="Grade K",0,VALUE(SUBSTITUTE(F80,"Grade ","")))=2,"2 grades below","3+ grades below"))))</f>
        <v/>
      </c>
      <c r="H80" s="2"/>
      <c r="I80" s="2"/>
      <c r="J80" s="2"/>
      <c r="K80" s="9" t="str">
        <f aca="false">IF(J80="","",IF(B80-IF(J80="Grade K",0,VALUE(SUBSTITUTE(J80,"Grade ","")))&lt;=0,"On/above grade",IF(B80-IF(J80="Grade K",0,VALUE(SUBSTITUTE(J80,"Grade ","")))=1,"1 grade below",IF(B80-IF(J80="Grade K",0,VALUE(SUBSTITUTE(J80,"Grade ","")))=2,"2 grades below","3+ grades below"))))</f>
        <v/>
      </c>
      <c r="L80" s="2"/>
      <c r="M80" s="2"/>
      <c r="N80" s="2"/>
      <c r="O80" s="2"/>
    </row>
    <row r="81" customFormat="false" ht="15" hidden="false" customHeight="false" outlineLevel="0" collapsed="false">
      <c r="A81" s="5" t="str">
        <f aca="false">IFERROR(INDEX(Roster!$A$3:$A$148,MATCH(79,Roster!$D$3:$D$148,0)),"")</f>
        <v/>
      </c>
      <c r="B81" s="5" t="str">
        <f aca="false">IFERROR(INDEX(Roster!$B$3:$B$148,MATCH(79,Roster!$D$3:$D$148,0)),"")</f>
        <v/>
      </c>
      <c r="C81" s="5" t="str">
        <f aca="false">IF(A81="","",IF(ROW()-3&lt;$F$1,"Group A",IF(ROW()-3&lt;2*$F$1,"Group B","Group C")))</f>
        <v/>
      </c>
      <c r="D81" s="2"/>
      <c r="E81" s="2"/>
      <c r="F81" s="2"/>
      <c r="G81" s="9" t="str">
        <f aca="false">IF(F81="","",IF(B81-IF(F81="Grade K",0,VALUE(SUBSTITUTE(F81,"Grade ","")))&lt;=0,"On/above grade",IF(B81-IF(F81="Grade K",0,VALUE(SUBSTITUTE(F81,"Grade ","")))=1,"1 grade below",IF(B81-IF(F81="Grade K",0,VALUE(SUBSTITUTE(F81,"Grade ","")))=2,"2 grades below","3+ grades below"))))</f>
        <v/>
      </c>
      <c r="H81" s="2"/>
      <c r="I81" s="2"/>
      <c r="J81" s="2"/>
      <c r="K81" s="9" t="str">
        <f aca="false">IF(J81="","",IF(B81-IF(J81="Grade K",0,VALUE(SUBSTITUTE(J81,"Grade ","")))&lt;=0,"On/above grade",IF(B81-IF(J81="Grade K",0,VALUE(SUBSTITUTE(J81,"Grade ","")))=1,"1 grade below",IF(B81-IF(J81="Grade K",0,VALUE(SUBSTITUTE(J81,"Grade ","")))=2,"2 grades below","3+ grades below"))))</f>
        <v/>
      </c>
      <c r="L81" s="2"/>
      <c r="M81" s="2"/>
      <c r="N81" s="2"/>
      <c r="O81" s="2"/>
    </row>
    <row r="82" customFormat="false" ht="15" hidden="false" customHeight="false" outlineLevel="0" collapsed="false">
      <c r="A82" s="5" t="str">
        <f aca="false">IFERROR(INDEX(Roster!$A$3:$A$148,MATCH(80,Roster!$D$3:$D$148,0)),"")</f>
        <v/>
      </c>
      <c r="B82" s="5" t="str">
        <f aca="false">IFERROR(INDEX(Roster!$B$3:$B$148,MATCH(80,Roster!$D$3:$D$148,0)),"")</f>
        <v/>
      </c>
      <c r="C82" s="5" t="str">
        <f aca="false">IF(A82="","",IF(ROW()-3&lt;$F$1,"Group A",IF(ROW()-3&lt;2*$F$1,"Group B","Group C")))</f>
        <v/>
      </c>
      <c r="D82" s="2"/>
      <c r="E82" s="2"/>
      <c r="F82" s="2"/>
      <c r="G82" s="9" t="str">
        <f aca="false">IF(F82="","",IF(B82-IF(F82="Grade K",0,VALUE(SUBSTITUTE(F82,"Grade ","")))&lt;=0,"On/above grade",IF(B82-IF(F82="Grade K",0,VALUE(SUBSTITUTE(F82,"Grade ","")))=1,"1 grade below",IF(B82-IF(F82="Grade K",0,VALUE(SUBSTITUTE(F82,"Grade ","")))=2,"2 grades below","3+ grades below"))))</f>
        <v/>
      </c>
      <c r="H82" s="2"/>
      <c r="I82" s="2"/>
      <c r="J82" s="2"/>
      <c r="K82" s="9" t="str">
        <f aca="false">IF(J82="","",IF(B82-IF(J82="Grade K",0,VALUE(SUBSTITUTE(J82,"Grade ","")))&lt;=0,"On/above grade",IF(B82-IF(J82="Grade K",0,VALUE(SUBSTITUTE(J82,"Grade ","")))=1,"1 grade below",IF(B82-IF(J82="Grade K",0,VALUE(SUBSTITUTE(J82,"Grade ","")))=2,"2 grades below","3+ grades below"))))</f>
        <v/>
      </c>
      <c r="L82" s="2"/>
      <c r="M82" s="2"/>
      <c r="N82" s="2"/>
      <c r="O82" s="2"/>
    </row>
    <row r="83" customFormat="false" ht="15" hidden="false" customHeight="false" outlineLevel="0" collapsed="false">
      <c r="A83" s="5" t="str">
        <f aca="false">IFERROR(INDEX(Roster!$A$3:$A$148,MATCH(81,Roster!$D$3:$D$148,0)),"")</f>
        <v/>
      </c>
      <c r="B83" s="5" t="str">
        <f aca="false">IFERROR(INDEX(Roster!$B$3:$B$148,MATCH(81,Roster!$D$3:$D$148,0)),"")</f>
        <v/>
      </c>
      <c r="C83" s="5" t="str">
        <f aca="false">IF(A83="","",IF(ROW()-3&lt;$F$1,"Group A",IF(ROW()-3&lt;2*$F$1,"Group B","Group C")))</f>
        <v/>
      </c>
      <c r="D83" s="2"/>
      <c r="E83" s="2"/>
      <c r="F83" s="2"/>
      <c r="G83" s="9" t="str">
        <f aca="false">IF(F83="","",IF(B83-IF(F83="Grade K",0,VALUE(SUBSTITUTE(F83,"Grade ","")))&lt;=0,"On/above grade",IF(B83-IF(F83="Grade K",0,VALUE(SUBSTITUTE(F83,"Grade ","")))=1,"1 grade below",IF(B83-IF(F83="Grade K",0,VALUE(SUBSTITUTE(F83,"Grade ","")))=2,"2 grades below","3+ grades below"))))</f>
        <v/>
      </c>
      <c r="H83" s="2"/>
      <c r="I83" s="2"/>
      <c r="J83" s="2"/>
      <c r="K83" s="9" t="str">
        <f aca="false">IF(J83="","",IF(B83-IF(J83="Grade K",0,VALUE(SUBSTITUTE(J83,"Grade ","")))&lt;=0,"On/above grade",IF(B83-IF(J83="Grade K",0,VALUE(SUBSTITUTE(J83,"Grade ","")))=1,"1 grade below",IF(B83-IF(J83="Grade K",0,VALUE(SUBSTITUTE(J83,"Grade ","")))=2,"2 grades below","3+ grades below"))))</f>
        <v/>
      </c>
      <c r="L83" s="2"/>
      <c r="M83" s="2"/>
      <c r="N83" s="2"/>
      <c r="O83" s="2"/>
    </row>
    <row r="84" customFormat="false" ht="15" hidden="false" customHeight="false" outlineLevel="0" collapsed="false">
      <c r="A84" s="5" t="str">
        <f aca="false">IFERROR(INDEX(Roster!$A$3:$A$148,MATCH(82,Roster!$D$3:$D$148,0)),"")</f>
        <v/>
      </c>
      <c r="B84" s="5" t="str">
        <f aca="false">IFERROR(INDEX(Roster!$B$3:$B$148,MATCH(82,Roster!$D$3:$D$148,0)),"")</f>
        <v/>
      </c>
      <c r="C84" s="5" t="str">
        <f aca="false">IF(A84="","",IF(ROW()-3&lt;$F$1,"Group A",IF(ROW()-3&lt;2*$F$1,"Group B","Group C")))</f>
        <v/>
      </c>
      <c r="D84" s="2"/>
      <c r="E84" s="2"/>
      <c r="F84" s="2"/>
      <c r="G84" s="9" t="str">
        <f aca="false">IF(F84="","",IF(B84-IF(F84="Grade K",0,VALUE(SUBSTITUTE(F84,"Grade ","")))&lt;=0,"On/above grade",IF(B84-IF(F84="Grade K",0,VALUE(SUBSTITUTE(F84,"Grade ","")))=1,"1 grade below",IF(B84-IF(F84="Grade K",0,VALUE(SUBSTITUTE(F84,"Grade ","")))=2,"2 grades below","3+ grades below"))))</f>
        <v/>
      </c>
      <c r="H84" s="2"/>
      <c r="I84" s="2"/>
      <c r="J84" s="2"/>
      <c r="K84" s="9" t="str">
        <f aca="false">IF(J84="","",IF(B84-IF(J84="Grade K",0,VALUE(SUBSTITUTE(J84,"Grade ","")))&lt;=0,"On/above grade",IF(B84-IF(J84="Grade K",0,VALUE(SUBSTITUTE(J84,"Grade ","")))=1,"1 grade below",IF(B84-IF(J84="Grade K",0,VALUE(SUBSTITUTE(J84,"Grade ","")))=2,"2 grades below","3+ grades below"))))</f>
        <v/>
      </c>
      <c r="L84" s="2"/>
      <c r="M84" s="2"/>
      <c r="N84" s="2"/>
      <c r="O84" s="2"/>
    </row>
    <row r="85" customFormat="false" ht="15" hidden="false" customHeight="false" outlineLevel="0" collapsed="false">
      <c r="A85" s="5" t="str">
        <f aca="false">IFERROR(INDEX(Roster!$A$3:$A$148,MATCH(83,Roster!$D$3:$D$148,0)),"")</f>
        <v/>
      </c>
      <c r="B85" s="5" t="str">
        <f aca="false">IFERROR(INDEX(Roster!$B$3:$B$148,MATCH(83,Roster!$D$3:$D$148,0)),"")</f>
        <v/>
      </c>
      <c r="C85" s="5" t="str">
        <f aca="false">IF(A85="","",IF(ROW()-3&lt;$F$1,"Group A",IF(ROW()-3&lt;2*$F$1,"Group B","Group C")))</f>
        <v/>
      </c>
      <c r="D85" s="2"/>
      <c r="E85" s="2"/>
      <c r="F85" s="2"/>
      <c r="G85" s="9" t="str">
        <f aca="false">IF(F85="","",IF(B85-IF(F85="Grade K",0,VALUE(SUBSTITUTE(F85,"Grade ","")))&lt;=0,"On/above grade",IF(B85-IF(F85="Grade K",0,VALUE(SUBSTITUTE(F85,"Grade ","")))=1,"1 grade below",IF(B85-IF(F85="Grade K",0,VALUE(SUBSTITUTE(F85,"Grade ","")))=2,"2 grades below","3+ grades below"))))</f>
        <v/>
      </c>
      <c r="H85" s="2"/>
      <c r="I85" s="2"/>
      <c r="J85" s="2"/>
      <c r="K85" s="9" t="str">
        <f aca="false">IF(J85="","",IF(B85-IF(J85="Grade K",0,VALUE(SUBSTITUTE(J85,"Grade ","")))&lt;=0,"On/above grade",IF(B85-IF(J85="Grade K",0,VALUE(SUBSTITUTE(J85,"Grade ","")))=1,"1 grade below",IF(B85-IF(J85="Grade K",0,VALUE(SUBSTITUTE(J85,"Grade ","")))=2,"2 grades below","3+ grades below"))))</f>
        <v/>
      </c>
      <c r="L85" s="2"/>
      <c r="M85" s="2"/>
      <c r="N85" s="2"/>
      <c r="O85" s="2"/>
    </row>
    <row r="86" customFormat="false" ht="15" hidden="false" customHeight="false" outlineLevel="0" collapsed="false">
      <c r="A86" s="5" t="str">
        <f aca="false">IFERROR(INDEX(Roster!$A$3:$A$148,MATCH(84,Roster!$D$3:$D$148,0)),"")</f>
        <v/>
      </c>
      <c r="B86" s="5" t="str">
        <f aca="false">IFERROR(INDEX(Roster!$B$3:$B$148,MATCH(84,Roster!$D$3:$D$148,0)),"")</f>
        <v/>
      </c>
      <c r="C86" s="5" t="str">
        <f aca="false">IF(A86="","",IF(ROW()-3&lt;$F$1,"Group A",IF(ROW()-3&lt;2*$F$1,"Group B","Group C")))</f>
        <v/>
      </c>
      <c r="D86" s="2"/>
      <c r="E86" s="2"/>
      <c r="F86" s="2"/>
      <c r="G86" s="9" t="str">
        <f aca="false">IF(F86="","",IF(B86-IF(F86="Grade K",0,VALUE(SUBSTITUTE(F86,"Grade ","")))&lt;=0,"On/above grade",IF(B86-IF(F86="Grade K",0,VALUE(SUBSTITUTE(F86,"Grade ","")))=1,"1 grade below",IF(B86-IF(F86="Grade K",0,VALUE(SUBSTITUTE(F86,"Grade ","")))=2,"2 grades below","3+ grades below"))))</f>
        <v/>
      </c>
      <c r="H86" s="2"/>
      <c r="I86" s="2"/>
      <c r="J86" s="2"/>
      <c r="K86" s="9" t="str">
        <f aca="false">IF(J86="","",IF(B86-IF(J86="Grade K",0,VALUE(SUBSTITUTE(J86,"Grade ","")))&lt;=0,"On/above grade",IF(B86-IF(J86="Grade K",0,VALUE(SUBSTITUTE(J86,"Grade ","")))=1,"1 grade below",IF(B86-IF(J86="Grade K",0,VALUE(SUBSTITUTE(J86,"Grade ","")))=2,"2 grades below","3+ grades below"))))</f>
        <v/>
      </c>
      <c r="L86" s="2"/>
      <c r="M86" s="2"/>
      <c r="N86" s="2"/>
      <c r="O86" s="2"/>
    </row>
    <row r="87" customFormat="false" ht="15" hidden="false" customHeight="false" outlineLevel="0" collapsed="false">
      <c r="A87" s="5" t="str">
        <f aca="false">IFERROR(INDEX(Roster!$A$3:$A$148,MATCH(85,Roster!$D$3:$D$148,0)),"")</f>
        <v/>
      </c>
      <c r="B87" s="5" t="str">
        <f aca="false">IFERROR(INDEX(Roster!$B$3:$B$148,MATCH(85,Roster!$D$3:$D$148,0)),"")</f>
        <v/>
      </c>
      <c r="C87" s="5" t="str">
        <f aca="false">IF(A87="","",IF(ROW()-3&lt;$F$1,"Group A",IF(ROW()-3&lt;2*$F$1,"Group B","Group C")))</f>
        <v/>
      </c>
      <c r="D87" s="2"/>
      <c r="E87" s="2"/>
      <c r="F87" s="2"/>
      <c r="G87" s="9" t="str">
        <f aca="false">IF(F87="","",IF(B87-IF(F87="Grade K",0,VALUE(SUBSTITUTE(F87,"Grade ","")))&lt;=0,"On/above grade",IF(B87-IF(F87="Grade K",0,VALUE(SUBSTITUTE(F87,"Grade ","")))=1,"1 grade below",IF(B87-IF(F87="Grade K",0,VALUE(SUBSTITUTE(F87,"Grade ","")))=2,"2 grades below","3+ grades below"))))</f>
        <v/>
      </c>
      <c r="H87" s="2"/>
      <c r="I87" s="2"/>
      <c r="J87" s="2"/>
      <c r="K87" s="9" t="str">
        <f aca="false">IF(J87="","",IF(B87-IF(J87="Grade K",0,VALUE(SUBSTITUTE(J87,"Grade ","")))&lt;=0,"On/above grade",IF(B87-IF(J87="Grade K",0,VALUE(SUBSTITUTE(J87,"Grade ","")))=1,"1 grade below",IF(B87-IF(J87="Grade K",0,VALUE(SUBSTITUTE(J87,"Grade ","")))=2,"2 grades below","3+ grades below"))))</f>
        <v/>
      </c>
      <c r="L87" s="2"/>
      <c r="M87" s="2"/>
      <c r="N87" s="2"/>
      <c r="O87" s="2"/>
    </row>
  </sheetData>
  <conditionalFormatting sqref="G3:G87">
    <cfRule type="expression" priority="2" aboveAverage="0" equalAverage="0" bottom="0" percent="0" rank="0" text="" dxfId="0">
      <formula>G3="On/above grade"</formula>
    </cfRule>
    <cfRule type="expression" priority="3" aboveAverage="0" equalAverage="0" bottom="0" percent="0" rank="0" text="" dxfId="1">
      <formula>G3="1 grade below"</formula>
    </cfRule>
    <cfRule type="expression" priority="4" aboveAverage="0" equalAverage="0" bottom="0" percent="0" rank="0" text="" dxfId="2">
      <formula>OR(G3="2 grades below",G3="3+ grades below")</formula>
    </cfRule>
  </conditionalFormatting>
  <conditionalFormatting sqref="K3:K87">
    <cfRule type="expression" priority="5" aboveAverage="0" equalAverage="0" bottom="0" percent="0" rank="0" text="" dxfId="0">
      <formula>K3="On/above grade"</formula>
    </cfRule>
    <cfRule type="expression" priority="6" aboveAverage="0" equalAverage="0" bottom="0" percent="0" rank="0" text="" dxfId="1">
      <formula>K3="1 grade below"</formula>
    </cfRule>
    <cfRule type="expression" priority="7" aboveAverage="0" equalAverage="0" bottom="0" percent="0" rank="0" text="" dxfId="2">
      <formula>OR(K3="2 grades below",K3="3+ grades below")</formula>
    </cfRule>
  </conditionalFormatting>
  <conditionalFormatting sqref="D3:D87">
    <cfRule type="expression" priority="8" aboveAverage="0" equalAverage="0" bottom="0" percent="0" rank="0" text="" dxfId="3">
      <formula>D3="Absent"</formula>
    </cfRule>
  </conditionalFormatting>
  <conditionalFormatting sqref="H3:H87">
    <cfRule type="expression" priority="9" aboveAverage="0" equalAverage="0" bottom="0" percent="0" rank="0" text="" dxfId="3">
      <formula>H3="Absent"</formula>
    </cfRule>
  </conditionalFormatting>
  <dataValidations count="5">
    <dataValidation allowBlank="false" errorStyle="stop" operator="between" showDropDown="false" showErrorMessage="false" showInputMessage="false" sqref="D3:D87" type="list">
      <formula1>"Started,Completed,Absent"</formula1>
      <formula2>0</formula2>
    </dataValidation>
    <dataValidation allowBlank="false" errorStyle="stop" operator="between" showDropDown="false" showErrorMessage="false" showInputMessage="false" sqref="H3:H87" type="list">
      <formula1>"Started,Completed,Absent"</formula1>
      <formula2>0</formula2>
    </dataValidation>
    <dataValidation allowBlank="false" errorStyle="stop" operator="between" showDropDown="false" showErrorMessage="false" showInputMessage="false" sqref="L3:N87" type="list">
      <formula1>"Present,Absent,Completed All"</formula1>
      <formula2>0</formula2>
    </dataValidation>
    <dataValidation allowBlank="false" errorStyle="stop" operator="between" showDropDown="false" showErrorMessage="false" showInputMessage="false" sqref="F3:F87" type="list">
      <formula1>"Grade K,Grade 1,Grade 2,Grade 3,Grade 4,Grade 5,Grade 6,Grade 7,Grade 8"</formula1>
      <formula2>0</formula2>
    </dataValidation>
    <dataValidation allowBlank="false" errorStyle="stop" operator="between" showDropDown="false" showErrorMessage="false" showInputMessage="false" sqref="J3:J87" type="list">
      <formula1>"Grade K,Grade 1,Grade 2,Grade 3,Grade 4,Grade 5,Grade 6,Grade 7,Grade 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4" min="12" style="0" width="13"/>
    <col collapsed="false" customWidth="true" hidden="false" outlineLevel="0" max="15" min="15" style="0" width="22"/>
  </cols>
  <sheetData>
    <row r="1" customFormat="false" ht="16.15" hidden="false" customHeight="false" outlineLevel="0" collapsed="false">
      <c r="A1" s="6" t="s">
        <v>11</v>
      </c>
      <c r="B1" s="2"/>
      <c r="C1" s="2" t="s">
        <v>177</v>
      </c>
      <c r="D1" s="2" t="n">
        <f aca="false">COUNTIF(A3:A83,"S-*")</f>
        <v>71</v>
      </c>
      <c r="E1" s="2" t="s">
        <v>178</v>
      </c>
      <c r="F1" s="2" t="n">
        <f aca="false">ROUNDUP(D1/3,0)</f>
        <v>24</v>
      </c>
      <c r="G1" s="2"/>
      <c r="H1" s="2"/>
      <c r="I1" s="2"/>
      <c r="J1" s="2"/>
      <c r="K1" s="2"/>
      <c r="L1" s="2"/>
      <c r="M1" s="2"/>
      <c r="N1" s="2"/>
      <c r="O1" s="2"/>
    </row>
    <row r="2" customFormat="false" ht="33.75" hidden="false" customHeight="true" outlineLevel="0" collapsed="false">
      <c r="A2" s="3" t="s">
        <v>1</v>
      </c>
      <c r="B2" s="3" t="s">
        <v>2</v>
      </c>
      <c r="C2" s="3" t="s">
        <v>179</v>
      </c>
      <c r="D2" s="3" t="s">
        <v>180</v>
      </c>
      <c r="E2" s="3" t="s">
        <v>181</v>
      </c>
      <c r="F2" s="3" t="s">
        <v>182</v>
      </c>
      <c r="G2" s="3" t="s">
        <v>183</v>
      </c>
      <c r="H2" s="3" t="s">
        <v>184</v>
      </c>
      <c r="I2" s="3" t="s">
        <v>185</v>
      </c>
      <c r="J2" s="3" t="s">
        <v>186</v>
      </c>
      <c r="K2" s="3" t="s">
        <v>187</v>
      </c>
      <c r="L2" s="3" t="s">
        <v>188</v>
      </c>
      <c r="M2" s="3" t="s">
        <v>189</v>
      </c>
      <c r="N2" s="3" t="s">
        <v>190</v>
      </c>
      <c r="O2" s="3" t="s">
        <v>191</v>
      </c>
    </row>
    <row r="3" customFormat="false" ht="15" hidden="false" customHeight="false" outlineLevel="0" collapsed="false">
      <c r="A3" s="5" t="str">
        <f aca="false">IFERROR(INDEX(Roster!$A$3:$A$148,MATCH(1,Roster!$E$3:$E$148,0)),"")</f>
        <v>S-004</v>
      </c>
      <c r="B3" s="5" t="n">
        <f aca="false">IFERROR(INDEX(Roster!$B$3:$B$148,MATCH(1,Roster!$E$3:$E$148,0)),"")</f>
        <v>5</v>
      </c>
      <c r="C3" s="5" t="str">
        <f aca="false">IF(A3="","",IF(ROW()-3&lt;$F$1,"Group A",IF(ROW()-3&lt;2*$F$1,"Group B","Group C")))</f>
        <v>Group A</v>
      </c>
      <c r="D3" s="4" t="s">
        <v>192</v>
      </c>
      <c r="E3" s="4" t="n">
        <v>552</v>
      </c>
      <c r="F3" s="4" t="s">
        <v>197</v>
      </c>
      <c r="G3" s="9" t="str">
        <f aca="false">IF(F3="","",IF(B3-IF(F3="Grade K",0,VALUE(SUBSTITUTE(F3,"Grade ","")))&lt;=0,"On/above grade",IF(B3-IF(F3="Grade K",0,VALUE(SUBSTITUTE(F3,"Grade ","")))=1,"1 grade below",IF(B3-IF(F3="Grade K",0,VALUE(SUBSTITUTE(F3,"Grade ","")))=2,"2 grades below","3+ grades below"))))</f>
        <v>On/above grade</v>
      </c>
      <c r="H3" s="4" t="s">
        <v>192</v>
      </c>
      <c r="I3" s="4" t="n">
        <v>530</v>
      </c>
      <c r="J3" s="4" t="s">
        <v>202</v>
      </c>
      <c r="K3" s="9" t="str">
        <f aca="false">IF(J3="","",IF(B3-IF(J3="Grade K",0,VALUE(SUBSTITUTE(J3,"Grade ","")))&lt;=0,"On/above grade",IF(B3-IF(J3="Grade K",0,VALUE(SUBSTITUTE(J3,"Grade ","")))=1,"1 grade below",IF(B3-IF(J3="Grade K",0,VALUE(SUBSTITUTE(J3,"Grade ","")))=2,"2 grades below","3+ grades below"))))</f>
        <v>1 grade below</v>
      </c>
      <c r="L3" s="4" t="s">
        <v>195</v>
      </c>
      <c r="M3" s="4" t="s">
        <v>196</v>
      </c>
      <c r="N3" s="4" t="s">
        <v>195</v>
      </c>
      <c r="O3" s="2"/>
    </row>
    <row r="4" customFormat="false" ht="15" hidden="false" customHeight="false" outlineLevel="0" collapsed="false">
      <c r="A4" s="5" t="str">
        <f aca="false">IFERROR(INDEX(Roster!$A$3:$A$148,MATCH(2,Roster!$E$3:$E$148,0)),"")</f>
        <v>S-005</v>
      </c>
      <c r="B4" s="5" t="n">
        <f aca="false">IFERROR(INDEX(Roster!$B$3:$B$148,MATCH(2,Roster!$E$3:$E$148,0)),"")</f>
        <v>5</v>
      </c>
      <c r="C4" s="5" t="str">
        <f aca="false">IF(A4="","",IF(ROW()-3&lt;$F$1,"Group A",IF(ROW()-3&lt;2*$F$1,"Group B","Group C")))</f>
        <v>Group A</v>
      </c>
      <c r="D4" s="4" t="s">
        <v>192</v>
      </c>
      <c r="E4" s="4" t="n">
        <v>501</v>
      </c>
      <c r="F4" s="4" t="s">
        <v>202</v>
      </c>
      <c r="G4" s="9" t="str">
        <f aca="false">IF(F4="","",IF(B4-IF(F4="Grade K",0,VALUE(SUBSTITUTE(F4,"Grade ","")))&lt;=0,"On/above grade",IF(B4-IF(F4="Grade K",0,VALUE(SUBSTITUTE(F4,"Grade ","")))=1,"1 grade below",IF(B4-IF(F4="Grade K",0,VALUE(SUBSTITUTE(F4,"Grade ","")))=2,"2 grades below","3+ grades below"))))</f>
        <v>1 grade below</v>
      </c>
      <c r="H4" s="4" t="s">
        <v>192</v>
      </c>
      <c r="I4" s="4" t="n">
        <v>505</v>
      </c>
      <c r="J4" s="4" t="s">
        <v>202</v>
      </c>
      <c r="K4" s="9" t="str">
        <f aca="false">IF(J4="","",IF(B4-IF(J4="Grade K",0,VALUE(SUBSTITUTE(J4,"Grade ","")))&lt;=0,"On/above grade",IF(B4-IF(J4="Grade K",0,VALUE(SUBSTITUTE(J4,"Grade ","")))=1,"1 grade below",IF(B4-IF(J4="Grade K",0,VALUE(SUBSTITUTE(J4,"Grade ","")))=2,"2 grades below","3+ grades below"))))</f>
        <v>1 grade below</v>
      </c>
      <c r="L4" s="4" t="s">
        <v>195</v>
      </c>
      <c r="M4" s="4" t="s">
        <v>196</v>
      </c>
      <c r="N4" s="4" t="s">
        <v>196</v>
      </c>
      <c r="O4" s="2"/>
    </row>
    <row r="5" customFormat="false" ht="15" hidden="false" customHeight="false" outlineLevel="0" collapsed="false">
      <c r="A5" s="5" t="str">
        <f aca="false">IFERROR(INDEX(Roster!$A$3:$A$148,MATCH(3,Roster!$E$3:$E$148,0)),"")</f>
        <v>S-007</v>
      </c>
      <c r="B5" s="5" t="n">
        <f aca="false">IFERROR(INDEX(Roster!$B$3:$B$148,MATCH(3,Roster!$E$3:$E$148,0)),"")</f>
        <v>5</v>
      </c>
      <c r="C5" s="5" t="str">
        <f aca="false">IF(A5="","",IF(ROW()-3&lt;$F$1,"Group A",IF(ROW()-3&lt;2*$F$1,"Group B","Group C")))</f>
        <v>Group A</v>
      </c>
      <c r="D5" s="4" t="s">
        <v>192</v>
      </c>
      <c r="E5" s="4" t="n">
        <v>519</v>
      </c>
      <c r="F5" s="4" t="s">
        <v>202</v>
      </c>
      <c r="G5" s="9" t="str">
        <f aca="false">IF(F5="","",IF(B5-IF(F5="Grade K",0,VALUE(SUBSTITUTE(F5,"Grade ","")))&lt;=0,"On/above grade",IF(B5-IF(F5="Grade K",0,VALUE(SUBSTITUTE(F5,"Grade ","")))=1,"1 grade below",IF(B5-IF(F5="Grade K",0,VALUE(SUBSTITUTE(F5,"Grade ","")))=2,"2 grades below","3+ grades below"))))</f>
        <v>1 grade below</v>
      </c>
      <c r="H5" s="4" t="s">
        <v>192</v>
      </c>
      <c r="I5" s="4" t="n">
        <v>535</v>
      </c>
      <c r="J5" s="4" t="s">
        <v>202</v>
      </c>
      <c r="K5" s="9" t="str">
        <f aca="false">IF(J5="","",IF(B5-IF(J5="Grade K",0,VALUE(SUBSTITUTE(J5,"Grade ","")))&lt;=0,"On/above grade",IF(B5-IF(J5="Grade K",0,VALUE(SUBSTITUTE(J5,"Grade ","")))=1,"1 grade below",IF(B5-IF(J5="Grade K",0,VALUE(SUBSTITUTE(J5,"Grade ","")))=2,"2 grades below","3+ grades below"))))</f>
        <v>1 grade below</v>
      </c>
      <c r="L5" s="4" t="s">
        <v>196</v>
      </c>
      <c r="M5" s="4" t="s">
        <v>196</v>
      </c>
      <c r="N5" s="4" t="s">
        <v>195</v>
      </c>
      <c r="O5" s="2"/>
    </row>
    <row r="6" customFormat="false" ht="15" hidden="false" customHeight="false" outlineLevel="0" collapsed="false">
      <c r="A6" s="5" t="str">
        <f aca="false">IFERROR(INDEX(Roster!$A$3:$A$148,MATCH(4,Roster!$E$3:$E$148,0)),"")</f>
        <v>S-008</v>
      </c>
      <c r="B6" s="5" t="n">
        <f aca="false">IFERROR(INDEX(Roster!$B$3:$B$148,MATCH(4,Roster!$E$3:$E$148,0)),"")</f>
        <v>8</v>
      </c>
      <c r="C6" s="5" t="str">
        <f aca="false">IF(A6="","",IF(ROW()-3&lt;$F$1,"Group A",IF(ROW()-3&lt;2*$F$1,"Group B","Group C")))</f>
        <v>Group A</v>
      </c>
      <c r="D6" s="4" t="s">
        <v>192</v>
      </c>
      <c r="E6" s="4" t="n">
        <v>576</v>
      </c>
      <c r="F6" s="4" t="s">
        <v>194</v>
      </c>
      <c r="G6" s="9" t="str">
        <f aca="false">IF(F6="","",IF(B6-IF(F6="Grade K",0,VALUE(SUBSTITUTE(F6,"Grade ","")))&lt;=0,"On/above grade",IF(B6-IF(F6="Grade K",0,VALUE(SUBSTITUTE(F6,"Grade ","")))=1,"1 grade below",IF(B6-IF(F6="Grade K",0,VALUE(SUBSTITUTE(F6,"Grade ","")))=2,"2 grades below","3+ grades below"))))</f>
        <v>2 grades below</v>
      </c>
      <c r="H6" s="4" t="s">
        <v>192</v>
      </c>
      <c r="I6" s="4" t="n">
        <v>577</v>
      </c>
      <c r="J6" s="4" t="s">
        <v>194</v>
      </c>
      <c r="K6" s="9" t="str">
        <f aca="false">IF(J6="","",IF(B6-IF(J6="Grade K",0,VALUE(SUBSTITUTE(J6,"Grade ","")))&lt;=0,"On/above grade",IF(B6-IF(J6="Grade K",0,VALUE(SUBSTITUTE(J6,"Grade ","")))=1,"1 grade below",IF(B6-IF(J6="Grade K",0,VALUE(SUBSTITUTE(J6,"Grade ","")))=2,"2 grades below","3+ grades below"))))</f>
        <v>2 grades below</v>
      </c>
      <c r="L6" s="4" t="s">
        <v>195</v>
      </c>
      <c r="M6" s="4" t="s">
        <v>196</v>
      </c>
      <c r="N6" s="4" t="s">
        <v>196</v>
      </c>
      <c r="O6" s="2"/>
    </row>
    <row r="7" customFormat="false" ht="15" hidden="false" customHeight="false" outlineLevel="0" collapsed="false">
      <c r="A7" s="5" t="str">
        <f aca="false">IFERROR(INDEX(Roster!$A$3:$A$148,MATCH(5,Roster!$E$3:$E$148,0)),"")</f>
        <v>S-010</v>
      </c>
      <c r="B7" s="5" t="n">
        <f aca="false">IFERROR(INDEX(Roster!$B$3:$B$148,MATCH(5,Roster!$E$3:$E$148,0)),"")</f>
        <v>5</v>
      </c>
      <c r="C7" s="5" t="str">
        <f aca="false">IF(A7="","",IF(ROW()-3&lt;$F$1,"Group A",IF(ROW()-3&lt;2*$F$1,"Group B","Group C")))</f>
        <v>Group A</v>
      </c>
      <c r="D7" s="4" t="s">
        <v>192</v>
      </c>
      <c r="E7" s="4" t="n">
        <v>571</v>
      </c>
      <c r="F7" s="4" t="s">
        <v>197</v>
      </c>
      <c r="G7" s="9" t="str">
        <f aca="false">IF(F7="","",IF(B7-IF(F7="Grade K",0,VALUE(SUBSTITUTE(F7,"Grade ","")))&lt;=0,"On/above grade",IF(B7-IF(F7="Grade K",0,VALUE(SUBSTITUTE(F7,"Grade ","")))=1,"1 grade below",IF(B7-IF(F7="Grade K",0,VALUE(SUBSTITUTE(F7,"Grade ","")))=2,"2 grades below","3+ grades below"))))</f>
        <v>On/above grade</v>
      </c>
      <c r="H7" s="4" t="s">
        <v>192</v>
      </c>
      <c r="I7" s="4" t="n">
        <v>478</v>
      </c>
      <c r="J7" s="4" t="s">
        <v>201</v>
      </c>
      <c r="K7" s="9" t="str">
        <f aca="false">IF(J7="","",IF(B7-IF(J7="Grade K",0,VALUE(SUBSTITUTE(J7,"Grade ","")))&lt;=0,"On/above grade",IF(B7-IF(J7="Grade K",0,VALUE(SUBSTITUTE(J7,"Grade ","")))=1,"1 grade below",IF(B7-IF(J7="Grade K",0,VALUE(SUBSTITUTE(J7,"Grade ","")))=2,"2 grades below","3+ grades below"))))</f>
        <v>2 grades below</v>
      </c>
      <c r="L7" s="4" t="s">
        <v>199</v>
      </c>
      <c r="M7" s="4" t="s">
        <v>196</v>
      </c>
      <c r="N7" s="4" t="s">
        <v>195</v>
      </c>
      <c r="O7" s="2"/>
    </row>
    <row r="8" customFormat="false" ht="15" hidden="false" customHeight="false" outlineLevel="0" collapsed="false">
      <c r="A8" s="5" t="str">
        <f aca="false">IFERROR(INDEX(Roster!$A$3:$A$148,MATCH(6,Roster!$E$3:$E$148,0)),"")</f>
        <v>S-012</v>
      </c>
      <c r="B8" s="5" t="n">
        <f aca="false">IFERROR(INDEX(Roster!$B$3:$B$148,MATCH(6,Roster!$E$3:$E$148,0)),"")</f>
        <v>8</v>
      </c>
      <c r="C8" s="5" t="str">
        <f aca="false">IF(A8="","",IF(ROW()-3&lt;$F$1,"Group A",IF(ROW()-3&lt;2*$F$1,"Group B","Group C")))</f>
        <v>Group A</v>
      </c>
      <c r="D8" s="4" t="s">
        <v>199</v>
      </c>
      <c r="E8" s="2"/>
      <c r="F8" s="2"/>
      <c r="G8" s="9" t="str">
        <f aca="false">IF(F8="","",IF(B8-IF(F8="Grade K",0,VALUE(SUBSTITUTE(F8,"Grade ","")))&lt;=0,"On/above grade",IF(B8-IF(F8="Grade K",0,VALUE(SUBSTITUTE(F8,"Grade ","")))=1,"1 grade below",IF(B8-IF(F8="Grade K",0,VALUE(SUBSTITUTE(F8,"Grade ","")))=2,"2 grades below","3+ grades below"))))</f>
        <v/>
      </c>
      <c r="H8" s="4" t="s">
        <v>192</v>
      </c>
      <c r="I8" s="4" t="n">
        <v>525</v>
      </c>
      <c r="J8" s="4" t="s">
        <v>202</v>
      </c>
      <c r="K8" s="9" t="str">
        <f aca="false">IF(J8="","",IF(B8-IF(J8="Grade K",0,VALUE(SUBSTITUTE(J8,"Grade ","")))&lt;=0,"On/above grade",IF(B8-IF(J8="Grade K",0,VALUE(SUBSTITUTE(J8,"Grade ","")))=1,"1 grade below",IF(B8-IF(J8="Grade K",0,VALUE(SUBSTITUTE(J8,"Grade ","")))=2,"2 grades below","3+ grades below"))))</f>
        <v>3+ grades below</v>
      </c>
      <c r="L8" s="4" t="s">
        <v>196</v>
      </c>
      <c r="M8" s="4" t="s">
        <v>196</v>
      </c>
      <c r="N8" s="4" t="s">
        <v>196</v>
      </c>
      <c r="O8" s="2"/>
    </row>
    <row r="9" customFormat="false" ht="15" hidden="false" customHeight="false" outlineLevel="0" collapsed="false">
      <c r="A9" s="5" t="str">
        <f aca="false">IFERROR(INDEX(Roster!$A$3:$A$148,MATCH(7,Roster!$E$3:$E$148,0)),"")</f>
        <v>S-014</v>
      </c>
      <c r="B9" s="5" t="n">
        <f aca="false">IFERROR(INDEX(Roster!$B$3:$B$148,MATCH(7,Roster!$E$3:$E$148,0)),"")</f>
        <v>8</v>
      </c>
      <c r="C9" s="5" t="str">
        <f aca="false">IF(A9="","",IF(ROW()-3&lt;$F$1,"Group A",IF(ROW()-3&lt;2*$F$1,"Group B","Group C")))</f>
        <v>Group A</v>
      </c>
      <c r="D9" s="4" t="s">
        <v>192</v>
      </c>
      <c r="E9" s="4" t="n">
        <v>659</v>
      </c>
      <c r="F9" s="4" t="s">
        <v>193</v>
      </c>
      <c r="G9" s="9" t="str">
        <f aca="false">IF(F9="","",IF(B9-IF(F9="Grade K",0,VALUE(SUBSTITUTE(F9,"Grade ","")))&lt;=0,"On/above grade",IF(B9-IF(F9="Grade K",0,VALUE(SUBSTITUTE(F9,"Grade ","")))=1,"1 grade below",IF(B9-IF(F9="Grade K",0,VALUE(SUBSTITUTE(F9,"Grade ","")))=2,"2 grades below","3+ grades below"))))</f>
        <v>On/above grade</v>
      </c>
      <c r="H9" s="4" t="s">
        <v>199</v>
      </c>
      <c r="I9" s="2"/>
      <c r="J9" s="2"/>
      <c r="K9" s="9" t="str">
        <f aca="false">IF(J9="","",IF(B9-IF(J9="Grade K",0,VALUE(SUBSTITUTE(J9,"Grade ","")))&lt;=0,"On/above grade",IF(B9-IF(J9="Grade K",0,VALUE(SUBSTITUTE(J9,"Grade ","")))=1,"1 grade below",IF(B9-IF(J9="Grade K",0,VALUE(SUBSTITUTE(J9,"Grade ","")))=2,"2 grades below","3+ grades below"))))</f>
        <v/>
      </c>
      <c r="L9" s="4" t="s">
        <v>196</v>
      </c>
      <c r="M9" s="4" t="s">
        <v>195</v>
      </c>
      <c r="N9" s="4" t="s">
        <v>196</v>
      </c>
      <c r="O9" s="2"/>
    </row>
    <row r="10" customFormat="false" ht="15" hidden="false" customHeight="false" outlineLevel="0" collapsed="false">
      <c r="A10" s="5" t="str">
        <f aca="false">IFERROR(INDEX(Roster!$A$3:$A$148,MATCH(8,Roster!$E$3:$E$148,0)),"")</f>
        <v>S-015</v>
      </c>
      <c r="B10" s="5" t="n">
        <f aca="false">IFERROR(INDEX(Roster!$B$3:$B$148,MATCH(8,Roster!$E$3:$E$148,0)),"")</f>
        <v>8</v>
      </c>
      <c r="C10" s="5" t="str">
        <f aca="false">IF(A10="","",IF(ROW()-3&lt;$F$1,"Group A",IF(ROW()-3&lt;2*$F$1,"Group B","Group C")))</f>
        <v>Group A</v>
      </c>
      <c r="D10" s="4" t="s">
        <v>192</v>
      </c>
      <c r="E10" s="4" t="n">
        <v>649</v>
      </c>
      <c r="F10" s="4" t="s">
        <v>193</v>
      </c>
      <c r="G10" s="9" t="str">
        <f aca="false">IF(F10="","",IF(B10-IF(F10="Grade K",0,VALUE(SUBSTITUTE(F10,"Grade ","")))&lt;=0,"On/above grade",IF(B10-IF(F10="Grade K",0,VALUE(SUBSTITUTE(F10,"Grade ","")))=1,"1 grade below",IF(B10-IF(F10="Grade K",0,VALUE(SUBSTITUTE(F10,"Grade ","")))=2,"2 grades below","3+ grades below"))))</f>
        <v>On/above grade</v>
      </c>
      <c r="H10" s="4" t="s">
        <v>192</v>
      </c>
      <c r="I10" s="4" t="n">
        <v>680</v>
      </c>
      <c r="J10" s="4" t="s">
        <v>193</v>
      </c>
      <c r="K10" s="9" t="str">
        <f aca="false">IF(J10="","",IF(B10-IF(J10="Grade K",0,VALUE(SUBSTITUTE(J10,"Grade ","")))&lt;=0,"On/above grade",IF(B10-IF(J10="Grade K",0,VALUE(SUBSTITUTE(J10,"Grade ","")))=1,"1 grade below",IF(B10-IF(J10="Grade K",0,VALUE(SUBSTITUTE(J10,"Grade ","")))=2,"2 grades below","3+ grades below"))))</f>
        <v>On/above grade</v>
      </c>
      <c r="L10" s="4" t="s">
        <v>195</v>
      </c>
      <c r="M10" s="4" t="s">
        <v>196</v>
      </c>
      <c r="N10" s="4" t="s">
        <v>196</v>
      </c>
      <c r="O10" s="2"/>
    </row>
    <row r="11" customFormat="false" ht="15" hidden="false" customHeight="false" outlineLevel="0" collapsed="false">
      <c r="A11" s="5" t="str">
        <f aca="false">IFERROR(INDEX(Roster!$A$3:$A$148,MATCH(9,Roster!$E$3:$E$148,0)),"")</f>
        <v>S-016</v>
      </c>
      <c r="B11" s="5" t="n">
        <f aca="false">IFERROR(INDEX(Roster!$B$3:$B$148,MATCH(9,Roster!$E$3:$E$148,0)),"")</f>
        <v>8</v>
      </c>
      <c r="C11" s="5" t="str">
        <f aca="false">IF(A11="","",IF(ROW()-3&lt;$F$1,"Group A",IF(ROW()-3&lt;2*$F$1,"Group B","Group C")))</f>
        <v>Group A</v>
      </c>
      <c r="D11" s="4" t="s">
        <v>192</v>
      </c>
      <c r="E11" s="4" t="n">
        <v>575</v>
      </c>
      <c r="F11" s="4" t="s">
        <v>194</v>
      </c>
      <c r="G11" s="9" t="str">
        <f aca="false">IF(F11="","",IF(B11-IF(F11="Grade K",0,VALUE(SUBSTITUTE(F11,"Grade ","")))&lt;=0,"On/above grade",IF(B11-IF(F11="Grade K",0,VALUE(SUBSTITUTE(F11,"Grade ","")))=1,"1 grade below",IF(B11-IF(F11="Grade K",0,VALUE(SUBSTITUTE(F11,"Grade ","")))=2,"2 grades below","3+ grades below"))))</f>
        <v>2 grades below</v>
      </c>
      <c r="H11" s="4" t="s">
        <v>192</v>
      </c>
      <c r="I11" s="4" t="n">
        <v>647</v>
      </c>
      <c r="J11" s="4" t="s">
        <v>193</v>
      </c>
      <c r="K11" s="9" t="str">
        <f aca="false">IF(J11="","",IF(B11-IF(J11="Grade K",0,VALUE(SUBSTITUTE(J11,"Grade ","")))&lt;=0,"On/above grade",IF(B11-IF(J11="Grade K",0,VALUE(SUBSTITUTE(J11,"Grade ","")))=1,"1 grade below",IF(B11-IF(J11="Grade K",0,VALUE(SUBSTITUTE(J11,"Grade ","")))=2,"2 grades below","3+ grades below"))))</f>
        <v>On/above grade</v>
      </c>
      <c r="L11" s="4" t="s">
        <v>196</v>
      </c>
      <c r="M11" s="4" t="s">
        <v>195</v>
      </c>
      <c r="N11" s="4" t="s">
        <v>196</v>
      </c>
      <c r="O11" s="2"/>
    </row>
    <row r="12" customFormat="false" ht="15" hidden="false" customHeight="false" outlineLevel="0" collapsed="false">
      <c r="A12" s="5" t="str">
        <f aca="false">IFERROR(INDEX(Roster!$A$3:$A$148,MATCH(10,Roster!$E$3:$E$148,0)),"")</f>
        <v>S-018</v>
      </c>
      <c r="B12" s="5" t="n">
        <f aca="false">IFERROR(INDEX(Roster!$B$3:$B$148,MATCH(10,Roster!$E$3:$E$148,0)),"")</f>
        <v>8</v>
      </c>
      <c r="C12" s="5" t="str">
        <f aca="false">IF(A12="","",IF(ROW()-3&lt;$F$1,"Group A",IF(ROW()-3&lt;2*$F$1,"Group B","Group C")))</f>
        <v>Group A</v>
      </c>
      <c r="D12" s="4" t="s">
        <v>192</v>
      </c>
      <c r="E12" s="4" t="n">
        <v>543</v>
      </c>
      <c r="F12" s="4" t="s">
        <v>197</v>
      </c>
      <c r="G12" s="9" t="str">
        <f aca="false">IF(F12="","",IF(B12-IF(F12="Grade K",0,VALUE(SUBSTITUTE(F12,"Grade ","")))&lt;=0,"On/above grade",IF(B12-IF(F12="Grade K",0,VALUE(SUBSTITUTE(F12,"Grade ","")))=1,"1 grade below",IF(B12-IF(F12="Grade K",0,VALUE(SUBSTITUTE(F12,"Grade ","")))=2,"2 grades below","3+ grades below"))))</f>
        <v>3+ grades below</v>
      </c>
      <c r="H12" s="4" t="s">
        <v>192</v>
      </c>
      <c r="I12" s="4" t="n">
        <v>594</v>
      </c>
      <c r="J12" s="4" t="s">
        <v>194</v>
      </c>
      <c r="K12" s="9" t="str">
        <f aca="false">IF(J12="","",IF(B12-IF(J12="Grade K",0,VALUE(SUBSTITUTE(J12,"Grade ","")))&lt;=0,"On/above grade",IF(B12-IF(J12="Grade K",0,VALUE(SUBSTITUTE(J12,"Grade ","")))=1,"1 grade below",IF(B12-IF(J12="Grade K",0,VALUE(SUBSTITUTE(J12,"Grade ","")))=2,"2 grades below","3+ grades below"))))</f>
        <v>2 grades below</v>
      </c>
      <c r="L12" s="4" t="s">
        <v>196</v>
      </c>
      <c r="M12" s="4" t="s">
        <v>199</v>
      </c>
      <c r="N12" s="4" t="s">
        <v>195</v>
      </c>
      <c r="O12" s="2"/>
    </row>
    <row r="13" customFormat="false" ht="15" hidden="false" customHeight="false" outlineLevel="0" collapsed="false">
      <c r="A13" s="5" t="str">
        <f aca="false">IFERROR(INDEX(Roster!$A$3:$A$148,MATCH(11,Roster!$E$3:$E$148,0)),"")</f>
        <v>S-019</v>
      </c>
      <c r="B13" s="5" t="n">
        <f aca="false">IFERROR(INDEX(Roster!$B$3:$B$148,MATCH(11,Roster!$E$3:$E$148,0)),"")</f>
        <v>5</v>
      </c>
      <c r="C13" s="5" t="str">
        <f aca="false">IF(A13="","",IF(ROW()-3&lt;$F$1,"Group A",IF(ROW()-3&lt;2*$F$1,"Group B","Group C")))</f>
        <v>Group A</v>
      </c>
      <c r="D13" s="4" t="s">
        <v>192</v>
      </c>
      <c r="E13" s="4" t="n">
        <v>485</v>
      </c>
      <c r="F13" s="4" t="s">
        <v>201</v>
      </c>
      <c r="G13" s="9" t="str">
        <f aca="false">IF(F13="","",IF(B13-IF(F13="Grade K",0,VALUE(SUBSTITUTE(F13,"Grade ","")))&lt;=0,"On/above grade",IF(B13-IF(F13="Grade K",0,VALUE(SUBSTITUTE(F13,"Grade ","")))=1,"1 grade below",IF(B13-IF(F13="Grade K",0,VALUE(SUBSTITUTE(F13,"Grade ","")))=2,"2 grades below","3+ grades below"))))</f>
        <v>2 grades below</v>
      </c>
      <c r="H13" s="4" t="s">
        <v>199</v>
      </c>
      <c r="I13" s="2"/>
      <c r="J13" s="2"/>
      <c r="K13" s="9" t="str">
        <f aca="false">IF(J13="","",IF(B13-IF(J13="Grade K",0,VALUE(SUBSTITUTE(J13,"Grade ","")))&lt;=0,"On/above grade",IF(B13-IF(J13="Grade K",0,VALUE(SUBSTITUTE(J13,"Grade ","")))=1,"1 grade below",IF(B13-IF(J13="Grade K",0,VALUE(SUBSTITUTE(J13,"Grade ","")))=2,"2 grades below","3+ grades below"))))</f>
        <v/>
      </c>
      <c r="L13" s="4" t="s">
        <v>195</v>
      </c>
      <c r="M13" s="4" t="s">
        <v>195</v>
      </c>
      <c r="N13" s="4" t="s">
        <v>195</v>
      </c>
      <c r="O13" s="2"/>
    </row>
    <row r="14" customFormat="false" ht="15" hidden="false" customHeight="false" outlineLevel="0" collapsed="false">
      <c r="A14" s="5" t="str">
        <f aca="false">IFERROR(INDEX(Roster!$A$3:$A$148,MATCH(12,Roster!$E$3:$E$148,0)),"")</f>
        <v>S-020</v>
      </c>
      <c r="B14" s="5" t="n">
        <f aca="false">IFERROR(INDEX(Roster!$B$3:$B$148,MATCH(12,Roster!$E$3:$E$148,0)),"")</f>
        <v>5</v>
      </c>
      <c r="C14" s="5" t="str">
        <f aca="false">IF(A14="","",IF(ROW()-3&lt;$F$1,"Group A",IF(ROW()-3&lt;2*$F$1,"Group B","Group C")))</f>
        <v>Group A</v>
      </c>
      <c r="D14" s="4" t="s">
        <v>192</v>
      </c>
      <c r="E14" s="4" t="n">
        <v>521</v>
      </c>
      <c r="F14" s="4" t="s">
        <v>202</v>
      </c>
      <c r="G14" s="9" t="str">
        <f aca="false">IF(F14="","",IF(B14-IF(F14="Grade K",0,VALUE(SUBSTITUTE(F14,"Grade ","")))&lt;=0,"On/above grade",IF(B14-IF(F14="Grade K",0,VALUE(SUBSTITUTE(F14,"Grade ","")))=1,"1 grade below",IF(B14-IF(F14="Grade K",0,VALUE(SUBSTITUTE(F14,"Grade ","")))=2,"2 grades below","3+ grades below"))))</f>
        <v>1 grade below</v>
      </c>
      <c r="H14" s="4" t="s">
        <v>192</v>
      </c>
      <c r="I14" s="4" t="n">
        <v>535</v>
      </c>
      <c r="J14" s="4" t="s">
        <v>202</v>
      </c>
      <c r="K14" s="9" t="str">
        <f aca="false">IF(J14="","",IF(B14-IF(J14="Grade K",0,VALUE(SUBSTITUTE(J14,"Grade ","")))&lt;=0,"On/above grade",IF(B14-IF(J14="Grade K",0,VALUE(SUBSTITUTE(J14,"Grade ","")))=1,"1 grade below",IF(B14-IF(J14="Grade K",0,VALUE(SUBSTITUTE(J14,"Grade ","")))=2,"2 grades below","3+ grades below"))))</f>
        <v>1 grade below</v>
      </c>
      <c r="L14" s="4" t="s">
        <v>196</v>
      </c>
      <c r="M14" s="4" t="s">
        <v>196</v>
      </c>
      <c r="N14" s="4" t="s">
        <v>195</v>
      </c>
      <c r="O14" s="2"/>
    </row>
    <row r="15" customFormat="false" ht="15" hidden="false" customHeight="false" outlineLevel="0" collapsed="false">
      <c r="A15" s="5" t="str">
        <f aca="false">IFERROR(INDEX(Roster!$A$3:$A$148,MATCH(13,Roster!$E$3:$E$148,0)),"")</f>
        <v>S-023</v>
      </c>
      <c r="B15" s="5" t="n">
        <f aca="false">IFERROR(INDEX(Roster!$B$3:$B$148,MATCH(13,Roster!$E$3:$E$148,0)),"")</f>
        <v>8</v>
      </c>
      <c r="C15" s="5" t="str">
        <f aca="false">IF(A15="","",IF(ROW()-3&lt;$F$1,"Group A",IF(ROW()-3&lt;2*$F$1,"Group B","Group C")))</f>
        <v>Group A</v>
      </c>
      <c r="D15" s="4" t="s">
        <v>192</v>
      </c>
      <c r="E15" s="4" t="n">
        <v>580</v>
      </c>
      <c r="F15" s="4" t="s">
        <v>194</v>
      </c>
      <c r="G15" s="9" t="str">
        <f aca="false">IF(F15="","",IF(B15-IF(F15="Grade K",0,VALUE(SUBSTITUTE(F15,"Grade ","")))&lt;=0,"On/above grade",IF(B15-IF(F15="Grade K",0,VALUE(SUBSTITUTE(F15,"Grade ","")))=1,"1 grade below",IF(B15-IF(F15="Grade K",0,VALUE(SUBSTITUTE(F15,"Grade ","")))=2,"2 grades below","3+ grades below"))))</f>
        <v>2 grades below</v>
      </c>
      <c r="H15" s="4" t="s">
        <v>192</v>
      </c>
      <c r="I15" s="4" t="n">
        <v>624</v>
      </c>
      <c r="J15" s="4" t="s">
        <v>200</v>
      </c>
      <c r="K15" s="9" t="str">
        <f aca="false">IF(J15="","",IF(B15-IF(J15="Grade K",0,VALUE(SUBSTITUTE(J15,"Grade ","")))&lt;=0,"On/above grade",IF(B15-IF(J15="Grade K",0,VALUE(SUBSTITUTE(J15,"Grade ","")))=1,"1 grade below",IF(B15-IF(J15="Grade K",0,VALUE(SUBSTITUTE(J15,"Grade ","")))=2,"2 grades below","3+ grades below"))))</f>
        <v>1 grade below</v>
      </c>
      <c r="L15" s="4" t="s">
        <v>196</v>
      </c>
      <c r="M15" s="4" t="s">
        <v>196</v>
      </c>
      <c r="N15" s="4" t="s">
        <v>196</v>
      </c>
      <c r="O15" s="2"/>
    </row>
    <row r="16" customFormat="false" ht="15" hidden="false" customHeight="false" outlineLevel="0" collapsed="false">
      <c r="A16" s="5" t="str">
        <f aca="false">IFERROR(INDEX(Roster!$A$3:$A$148,MATCH(14,Roster!$E$3:$E$148,0)),"")</f>
        <v>S-025</v>
      </c>
      <c r="B16" s="5" t="n">
        <f aca="false">IFERROR(INDEX(Roster!$B$3:$B$148,MATCH(14,Roster!$E$3:$E$148,0)),"")</f>
        <v>5</v>
      </c>
      <c r="C16" s="5" t="str">
        <f aca="false">IF(A16="","",IF(ROW()-3&lt;$F$1,"Group A",IF(ROW()-3&lt;2*$F$1,"Group B","Group C")))</f>
        <v>Group A</v>
      </c>
      <c r="D16" s="4" t="s">
        <v>192</v>
      </c>
      <c r="E16" s="4" t="n">
        <v>498</v>
      </c>
      <c r="F16" s="4" t="s">
        <v>201</v>
      </c>
      <c r="G16" s="9" t="str">
        <f aca="false">IF(F16="","",IF(B16-IF(F16="Grade K",0,VALUE(SUBSTITUTE(F16,"Grade ","")))&lt;=0,"On/above grade",IF(B16-IF(F16="Grade K",0,VALUE(SUBSTITUTE(F16,"Grade ","")))=1,"1 grade below",IF(B16-IF(F16="Grade K",0,VALUE(SUBSTITUTE(F16,"Grade ","")))=2,"2 grades below","3+ grades below"))))</f>
        <v>2 grades below</v>
      </c>
      <c r="H16" s="4" t="s">
        <v>199</v>
      </c>
      <c r="I16" s="2"/>
      <c r="J16" s="2"/>
      <c r="K16" s="9" t="str">
        <f aca="false">IF(J16="","",IF(B16-IF(J16="Grade K",0,VALUE(SUBSTITUTE(J16,"Grade ","")))&lt;=0,"On/above grade",IF(B16-IF(J16="Grade K",0,VALUE(SUBSTITUTE(J16,"Grade ","")))=1,"1 grade below",IF(B16-IF(J16="Grade K",0,VALUE(SUBSTITUTE(J16,"Grade ","")))=2,"2 grades below","3+ grades below"))))</f>
        <v/>
      </c>
      <c r="L16" s="4" t="s">
        <v>195</v>
      </c>
      <c r="M16" s="4" t="s">
        <v>199</v>
      </c>
      <c r="N16" s="4" t="s">
        <v>196</v>
      </c>
      <c r="O16" s="2"/>
    </row>
    <row r="17" customFormat="false" ht="15" hidden="false" customHeight="false" outlineLevel="0" collapsed="false">
      <c r="A17" s="5" t="str">
        <f aca="false">IFERROR(INDEX(Roster!$A$3:$A$148,MATCH(15,Roster!$E$3:$E$148,0)),"")</f>
        <v>S-029</v>
      </c>
      <c r="B17" s="5" t="n">
        <f aca="false">IFERROR(INDEX(Roster!$B$3:$B$148,MATCH(15,Roster!$E$3:$E$148,0)),"")</f>
        <v>8</v>
      </c>
      <c r="C17" s="5" t="str">
        <f aca="false">IF(A17="","",IF(ROW()-3&lt;$F$1,"Group A",IF(ROW()-3&lt;2*$F$1,"Group B","Group C")))</f>
        <v>Group A</v>
      </c>
      <c r="D17" s="4" t="s">
        <v>192</v>
      </c>
      <c r="E17" s="4" t="n">
        <v>575</v>
      </c>
      <c r="F17" s="4" t="s">
        <v>194</v>
      </c>
      <c r="G17" s="9" t="str">
        <f aca="false">IF(F17="","",IF(B17-IF(F17="Grade K",0,VALUE(SUBSTITUTE(F17,"Grade ","")))&lt;=0,"On/above grade",IF(B17-IF(F17="Grade K",0,VALUE(SUBSTITUTE(F17,"Grade ","")))=1,"1 grade below",IF(B17-IF(F17="Grade K",0,VALUE(SUBSTITUTE(F17,"Grade ","")))=2,"2 grades below","3+ grades below"))))</f>
        <v>2 grades below</v>
      </c>
      <c r="H17" s="4" t="s">
        <v>192</v>
      </c>
      <c r="I17" s="4" t="n">
        <v>631</v>
      </c>
      <c r="J17" s="4" t="s">
        <v>200</v>
      </c>
      <c r="K17" s="9" t="str">
        <f aca="false">IF(J17="","",IF(B17-IF(J17="Grade K",0,VALUE(SUBSTITUTE(J17,"Grade ","")))&lt;=0,"On/above grade",IF(B17-IF(J17="Grade K",0,VALUE(SUBSTITUTE(J17,"Grade ","")))=1,"1 grade below",IF(B17-IF(J17="Grade K",0,VALUE(SUBSTITUTE(J17,"Grade ","")))=2,"2 grades below","3+ grades below"))))</f>
        <v>1 grade below</v>
      </c>
      <c r="L17" s="4" t="s">
        <v>195</v>
      </c>
      <c r="M17" s="4" t="s">
        <v>196</v>
      </c>
      <c r="N17" s="4" t="s">
        <v>199</v>
      </c>
      <c r="O17" s="2"/>
    </row>
    <row r="18" customFormat="false" ht="15" hidden="false" customHeight="false" outlineLevel="0" collapsed="false">
      <c r="A18" s="5" t="str">
        <f aca="false">IFERROR(INDEX(Roster!$A$3:$A$148,MATCH(16,Roster!$E$3:$E$148,0)),"")</f>
        <v>S-030</v>
      </c>
      <c r="B18" s="5" t="n">
        <f aca="false">IFERROR(INDEX(Roster!$B$3:$B$148,MATCH(16,Roster!$E$3:$E$148,0)),"")</f>
        <v>8</v>
      </c>
      <c r="C18" s="5" t="str">
        <f aca="false">IF(A18="","",IF(ROW()-3&lt;$F$1,"Group A",IF(ROW()-3&lt;2*$F$1,"Group B","Group C")))</f>
        <v>Group A</v>
      </c>
      <c r="D18" s="4" t="s">
        <v>192</v>
      </c>
      <c r="E18" s="4" t="n">
        <v>612</v>
      </c>
      <c r="F18" s="4" t="s">
        <v>200</v>
      </c>
      <c r="G18" s="9" t="str">
        <f aca="false">IF(F18="","",IF(B18-IF(F18="Grade K",0,VALUE(SUBSTITUTE(F18,"Grade ","")))&lt;=0,"On/above grade",IF(B18-IF(F18="Grade K",0,VALUE(SUBSTITUTE(F18,"Grade ","")))=1,"1 grade below",IF(B18-IF(F18="Grade K",0,VALUE(SUBSTITUTE(F18,"Grade ","")))=2,"2 grades below","3+ grades below"))))</f>
        <v>1 grade below</v>
      </c>
      <c r="H18" s="4" t="s">
        <v>192</v>
      </c>
      <c r="I18" s="4" t="n">
        <v>585</v>
      </c>
      <c r="J18" s="4" t="s">
        <v>194</v>
      </c>
      <c r="K18" s="9" t="str">
        <f aca="false">IF(J18="","",IF(B18-IF(J18="Grade K",0,VALUE(SUBSTITUTE(J18,"Grade ","")))&lt;=0,"On/above grade",IF(B18-IF(J18="Grade K",0,VALUE(SUBSTITUTE(J18,"Grade ","")))=1,"1 grade below",IF(B18-IF(J18="Grade K",0,VALUE(SUBSTITUTE(J18,"Grade ","")))=2,"2 grades below","3+ grades below"))))</f>
        <v>2 grades below</v>
      </c>
      <c r="L18" s="4" t="s">
        <v>199</v>
      </c>
      <c r="M18" s="4" t="s">
        <v>196</v>
      </c>
      <c r="N18" s="4" t="s">
        <v>196</v>
      </c>
      <c r="O18" s="2"/>
    </row>
    <row r="19" customFormat="false" ht="15" hidden="false" customHeight="false" outlineLevel="0" collapsed="false">
      <c r="A19" s="5" t="str">
        <f aca="false">IFERROR(INDEX(Roster!$A$3:$A$148,MATCH(17,Roster!$E$3:$E$148,0)),"")</f>
        <v>S-032</v>
      </c>
      <c r="B19" s="5" t="n">
        <f aca="false">IFERROR(INDEX(Roster!$B$3:$B$148,MATCH(17,Roster!$E$3:$E$148,0)),"")</f>
        <v>8</v>
      </c>
      <c r="C19" s="5" t="str">
        <f aca="false">IF(A19="","",IF(ROW()-3&lt;$F$1,"Group A",IF(ROW()-3&lt;2*$F$1,"Group B","Group C")))</f>
        <v>Group A</v>
      </c>
      <c r="D19" s="4" t="s">
        <v>192</v>
      </c>
      <c r="E19" s="4" t="n">
        <v>661</v>
      </c>
      <c r="F19" s="4" t="s">
        <v>193</v>
      </c>
      <c r="G19" s="9" t="str">
        <f aca="false">IF(F19="","",IF(B19-IF(F19="Grade K",0,VALUE(SUBSTITUTE(F19,"Grade ","")))&lt;=0,"On/above grade",IF(B19-IF(F19="Grade K",0,VALUE(SUBSTITUTE(F19,"Grade ","")))=1,"1 grade below",IF(B19-IF(F19="Grade K",0,VALUE(SUBSTITUTE(F19,"Grade ","")))=2,"2 grades below","3+ grades below"))))</f>
        <v>On/above grade</v>
      </c>
      <c r="H19" s="4" t="s">
        <v>192</v>
      </c>
      <c r="I19" s="4" t="n">
        <v>640</v>
      </c>
      <c r="J19" s="4" t="s">
        <v>193</v>
      </c>
      <c r="K19" s="9" t="str">
        <f aca="false">IF(J19="","",IF(B19-IF(J19="Grade K",0,VALUE(SUBSTITUTE(J19,"Grade ","")))&lt;=0,"On/above grade",IF(B19-IF(J19="Grade K",0,VALUE(SUBSTITUTE(J19,"Grade ","")))=1,"1 grade below",IF(B19-IF(J19="Grade K",0,VALUE(SUBSTITUTE(J19,"Grade ","")))=2,"2 grades below","3+ grades below"))))</f>
        <v>On/above grade</v>
      </c>
      <c r="L19" s="4" t="s">
        <v>196</v>
      </c>
      <c r="M19" s="4" t="s">
        <v>195</v>
      </c>
      <c r="N19" s="4" t="s">
        <v>196</v>
      </c>
      <c r="O19" s="2"/>
    </row>
    <row r="20" customFormat="false" ht="15" hidden="false" customHeight="false" outlineLevel="0" collapsed="false">
      <c r="A20" s="5" t="str">
        <f aca="false">IFERROR(INDEX(Roster!$A$3:$A$148,MATCH(18,Roster!$E$3:$E$148,0)),"")</f>
        <v>S-033</v>
      </c>
      <c r="B20" s="5" t="n">
        <f aca="false">IFERROR(INDEX(Roster!$B$3:$B$148,MATCH(18,Roster!$E$3:$E$148,0)),"")</f>
        <v>5</v>
      </c>
      <c r="C20" s="5" t="str">
        <f aca="false">IF(A20="","",IF(ROW()-3&lt;$F$1,"Group A",IF(ROW()-3&lt;2*$F$1,"Group B","Group C")))</f>
        <v>Group A</v>
      </c>
      <c r="D20" s="4" t="s">
        <v>192</v>
      </c>
      <c r="E20" s="4" t="n">
        <v>441</v>
      </c>
      <c r="F20" s="4" t="s">
        <v>198</v>
      </c>
      <c r="G20" s="9" t="str">
        <f aca="false">IF(F20="","",IF(B20-IF(F20="Grade K",0,VALUE(SUBSTITUTE(F20,"Grade ","")))&lt;=0,"On/above grade",IF(B20-IF(F20="Grade K",0,VALUE(SUBSTITUTE(F20,"Grade ","")))=1,"1 grade below",IF(B20-IF(F20="Grade K",0,VALUE(SUBSTITUTE(F20,"Grade ","")))=2,"2 grades below","3+ grades below"))))</f>
        <v>3+ grades below</v>
      </c>
      <c r="H20" s="4" t="s">
        <v>192</v>
      </c>
      <c r="I20" s="4" t="n">
        <v>459</v>
      </c>
      <c r="J20" s="4" t="s">
        <v>198</v>
      </c>
      <c r="K20" s="9" t="str">
        <f aca="false">IF(J20="","",IF(B20-IF(J20="Grade K",0,VALUE(SUBSTITUTE(J20,"Grade ","")))&lt;=0,"On/above grade",IF(B20-IF(J20="Grade K",0,VALUE(SUBSTITUTE(J20,"Grade ","")))=1,"1 grade below",IF(B20-IF(J20="Grade K",0,VALUE(SUBSTITUTE(J20,"Grade ","")))=2,"2 grades below","3+ grades below"))))</f>
        <v>3+ grades below</v>
      </c>
      <c r="L20" s="4" t="s">
        <v>196</v>
      </c>
      <c r="M20" s="4" t="s">
        <v>196</v>
      </c>
      <c r="N20" s="4" t="s">
        <v>199</v>
      </c>
      <c r="O20" s="2"/>
    </row>
    <row r="21" customFormat="false" ht="15" hidden="false" customHeight="false" outlineLevel="0" collapsed="false">
      <c r="A21" s="5" t="str">
        <f aca="false">IFERROR(INDEX(Roster!$A$3:$A$148,MATCH(19,Roster!$E$3:$E$148,0)),"")</f>
        <v>S-036</v>
      </c>
      <c r="B21" s="5" t="n">
        <f aca="false">IFERROR(INDEX(Roster!$B$3:$B$148,MATCH(19,Roster!$E$3:$E$148,0)),"")</f>
        <v>5</v>
      </c>
      <c r="C21" s="5" t="str">
        <f aca="false">IF(A21="","",IF(ROW()-3&lt;$F$1,"Group A",IF(ROW()-3&lt;2*$F$1,"Group B","Group C")))</f>
        <v>Group A</v>
      </c>
      <c r="D21" s="4" t="s">
        <v>199</v>
      </c>
      <c r="E21" s="2"/>
      <c r="F21" s="2"/>
      <c r="G21" s="9" t="str">
        <f aca="false">IF(F21="","",IF(B21-IF(F21="Grade K",0,VALUE(SUBSTITUTE(F21,"Grade ","")))&lt;=0,"On/above grade",IF(B21-IF(F21="Grade K",0,VALUE(SUBSTITUTE(F21,"Grade ","")))=1,"1 grade below",IF(B21-IF(F21="Grade K",0,VALUE(SUBSTITUTE(F21,"Grade ","")))=2,"2 grades below","3+ grades below"))))</f>
        <v/>
      </c>
      <c r="H21" s="4" t="s">
        <v>192</v>
      </c>
      <c r="I21" s="4" t="n">
        <v>524</v>
      </c>
      <c r="J21" s="4" t="s">
        <v>202</v>
      </c>
      <c r="K21" s="9" t="str">
        <f aca="false">IF(J21="","",IF(B21-IF(J21="Grade K",0,VALUE(SUBSTITUTE(J21,"Grade ","")))&lt;=0,"On/above grade",IF(B21-IF(J21="Grade K",0,VALUE(SUBSTITUTE(J21,"Grade ","")))=1,"1 grade below",IF(B21-IF(J21="Grade K",0,VALUE(SUBSTITUTE(J21,"Grade ","")))=2,"2 grades below","3+ grades below"))))</f>
        <v>1 grade below</v>
      </c>
      <c r="L21" s="4" t="s">
        <v>195</v>
      </c>
      <c r="M21" s="4" t="s">
        <v>195</v>
      </c>
      <c r="N21" s="4" t="s">
        <v>195</v>
      </c>
      <c r="O21" s="2"/>
    </row>
    <row r="22" customFormat="false" ht="15" hidden="false" customHeight="false" outlineLevel="0" collapsed="false">
      <c r="A22" s="5" t="str">
        <f aca="false">IFERROR(INDEX(Roster!$A$3:$A$148,MATCH(20,Roster!$E$3:$E$148,0)),"")</f>
        <v>S-037</v>
      </c>
      <c r="B22" s="5" t="n">
        <f aca="false">IFERROR(INDEX(Roster!$B$3:$B$148,MATCH(20,Roster!$E$3:$E$148,0)),"")</f>
        <v>8</v>
      </c>
      <c r="C22" s="5" t="str">
        <f aca="false">IF(A22="","",IF(ROW()-3&lt;$F$1,"Group A",IF(ROW()-3&lt;2*$F$1,"Group B","Group C")))</f>
        <v>Group A</v>
      </c>
      <c r="D22" s="4" t="s">
        <v>192</v>
      </c>
      <c r="E22" s="4" t="n">
        <v>607</v>
      </c>
      <c r="F22" s="4" t="s">
        <v>200</v>
      </c>
      <c r="G22" s="9" t="str">
        <f aca="false">IF(F22="","",IF(B22-IF(F22="Grade K",0,VALUE(SUBSTITUTE(F22,"Grade ","")))&lt;=0,"On/above grade",IF(B22-IF(F22="Grade K",0,VALUE(SUBSTITUTE(F22,"Grade ","")))=1,"1 grade below",IF(B22-IF(F22="Grade K",0,VALUE(SUBSTITUTE(F22,"Grade ","")))=2,"2 grades below","3+ grades below"))))</f>
        <v>1 grade below</v>
      </c>
      <c r="H22" s="4" t="s">
        <v>192</v>
      </c>
      <c r="I22" s="4" t="n">
        <v>641</v>
      </c>
      <c r="J22" s="4" t="s">
        <v>200</v>
      </c>
      <c r="K22" s="9" t="str">
        <f aca="false">IF(J22="","",IF(B22-IF(J22="Grade K",0,VALUE(SUBSTITUTE(J22,"Grade ","")))&lt;=0,"On/above grade",IF(B22-IF(J22="Grade K",0,VALUE(SUBSTITUTE(J22,"Grade ","")))=1,"1 grade below",IF(B22-IF(J22="Grade K",0,VALUE(SUBSTITUTE(J22,"Grade ","")))=2,"2 grades below","3+ grades below"))))</f>
        <v>1 grade below</v>
      </c>
      <c r="L22" s="4" t="s">
        <v>196</v>
      </c>
      <c r="M22" s="4" t="s">
        <v>196</v>
      </c>
      <c r="N22" s="4" t="s">
        <v>196</v>
      </c>
      <c r="O22" s="2"/>
    </row>
    <row r="23" customFormat="false" ht="15" hidden="false" customHeight="false" outlineLevel="0" collapsed="false">
      <c r="A23" s="5" t="str">
        <f aca="false">IFERROR(INDEX(Roster!$A$3:$A$148,MATCH(21,Roster!$E$3:$E$148,0)),"")</f>
        <v>S-038</v>
      </c>
      <c r="B23" s="5" t="n">
        <f aca="false">IFERROR(INDEX(Roster!$B$3:$B$148,MATCH(21,Roster!$E$3:$E$148,0)),"")</f>
        <v>8</v>
      </c>
      <c r="C23" s="5" t="str">
        <f aca="false">IF(A23="","",IF(ROW()-3&lt;$F$1,"Group A",IF(ROW()-3&lt;2*$F$1,"Group B","Group C")))</f>
        <v>Group A</v>
      </c>
      <c r="D23" s="4" t="s">
        <v>192</v>
      </c>
      <c r="E23" s="4" t="n">
        <v>503</v>
      </c>
      <c r="F23" s="4" t="s">
        <v>202</v>
      </c>
      <c r="G23" s="9" t="str">
        <f aca="false">IF(F23="","",IF(B23-IF(F23="Grade K",0,VALUE(SUBSTITUTE(F23,"Grade ","")))&lt;=0,"On/above grade",IF(B23-IF(F23="Grade K",0,VALUE(SUBSTITUTE(F23,"Grade ","")))=1,"1 grade below",IF(B23-IF(F23="Grade K",0,VALUE(SUBSTITUTE(F23,"Grade ","")))=2,"2 grades below","3+ grades below"))))</f>
        <v>3+ grades below</v>
      </c>
      <c r="H23" s="4" t="s">
        <v>192</v>
      </c>
      <c r="I23" s="4" t="n">
        <v>649</v>
      </c>
      <c r="J23" s="4" t="s">
        <v>193</v>
      </c>
      <c r="K23" s="9" t="str">
        <f aca="false">IF(J23="","",IF(B23-IF(J23="Grade K",0,VALUE(SUBSTITUTE(J23,"Grade ","")))&lt;=0,"On/above grade",IF(B23-IF(J23="Grade K",0,VALUE(SUBSTITUTE(J23,"Grade ","")))=1,"1 grade below",IF(B23-IF(J23="Grade K",0,VALUE(SUBSTITUTE(J23,"Grade ","")))=2,"2 grades below","3+ grades below"))))</f>
        <v>On/above grade</v>
      </c>
      <c r="L23" s="4" t="s">
        <v>196</v>
      </c>
      <c r="M23" s="4" t="s">
        <v>196</v>
      </c>
      <c r="N23" s="4" t="s">
        <v>196</v>
      </c>
      <c r="O23" s="2"/>
    </row>
    <row r="24" customFormat="false" ht="15" hidden="false" customHeight="false" outlineLevel="0" collapsed="false">
      <c r="A24" s="5" t="str">
        <f aca="false">IFERROR(INDEX(Roster!$A$3:$A$148,MATCH(22,Roster!$E$3:$E$148,0)),"")</f>
        <v>S-040</v>
      </c>
      <c r="B24" s="5" t="n">
        <f aca="false">IFERROR(INDEX(Roster!$B$3:$B$148,MATCH(22,Roster!$E$3:$E$148,0)),"")</f>
        <v>8</v>
      </c>
      <c r="C24" s="5" t="str">
        <f aca="false">IF(A24="","",IF(ROW()-3&lt;$F$1,"Group A",IF(ROW()-3&lt;2*$F$1,"Group B","Group C")))</f>
        <v>Group A</v>
      </c>
      <c r="D24" s="4" t="s">
        <v>192</v>
      </c>
      <c r="E24" s="4" t="n">
        <v>571</v>
      </c>
      <c r="F24" s="4" t="s">
        <v>197</v>
      </c>
      <c r="G24" s="9" t="str">
        <f aca="false">IF(F24="","",IF(B24-IF(F24="Grade K",0,VALUE(SUBSTITUTE(F24,"Grade ","")))&lt;=0,"On/above grade",IF(B24-IF(F24="Grade K",0,VALUE(SUBSTITUTE(F24,"Grade ","")))=1,"1 grade below",IF(B24-IF(F24="Grade K",0,VALUE(SUBSTITUTE(F24,"Grade ","")))=2,"2 grades below","3+ grades below"))))</f>
        <v>3+ grades below</v>
      </c>
      <c r="H24" s="4" t="s">
        <v>192</v>
      </c>
      <c r="I24" s="4" t="n">
        <v>601</v>
      </c>
      <c r="J24" s="4" t="s">
        <v>194</v>
      </c>
      <c r="K24" s="9" t="str">
        <f aca="false">IF(J24="","",IF(B24-IF(J24="Grade K",0,VALUE(SUBSTITUTE(J24,"Grade ","")))&lt;=0,"On/above grade",IF(B24-IF(J24="Grade K",0,VALUE(SUBSTITUTE(J24,"Grade ","")))=1,"1 grade below",IF(B24-IF(J24="Grade K",0,VALUE(SUBSTITUTE(J24,"Grade ","")))=2,"2 grades below","3+ grades below"))))</f>
        <v>2 grades below</v>
      </c>
      <c r="L24" s="4" t="s">
        <v>195</v>
      </c>
      <c r="M24" s="4" t="s">
        <v>196</v>
      </c>
      <c r="N24" s="4" t="s">
        <v>199</v>
      </c>
      <c r="O24" s="2"/>
    </row>
    <row r="25" customFormat="false" ht="15" hidden="false" customHeight="false" outlineLevel="0" collapsed="false">
      <c r="A25" s="5" t="str">
        <f aca="false">IFERROR(INDEX(Roster!$A$3:$A$148,MATCH(23,Roster!$E$3:$E$148,0)),"")</f>
        <v>S-041</v>
      </c>
      <c r="B25" s="5" t="n">
        <f aca="false">IFERROR(INDEX(Roster!$B$3:$B$148,MATCH(23,Roster!$E$3:$E$148,0)),"")</f>
        <v>5</v>
      </c>
      <c r="C25" s="5" t="str">
        <f aca="false">IF(A25="","",IF(ROW()-3&lt;$F$1,"Group A",IF(ROW()-3&lt;2*$F$1,"Group B","Group C")))</f>
        <v>Group A</v>
      </c>
      <c r="D25" s="4" t="s">
        <v>192</v>
      </c>
      <c r="E25" s="4" t="n">
        <v>437</v>
      </c>
      <c r="F25" s="4" t="s">
        <v>198</v>
      </c>
      <c r="G25" s="9" t="str">
        <f aca="false">IF(F25="","",IF(B25-IF(F25="Grade K",0,VALUE(SUBSTITUTE(F25,"Grade ","")))&lt;=0,"On/above grade",IF(B25-IF(F25="Grade K",0,VALUE(SUBSTITUTE(F25,"Grade ","")))=1,"1 grade below",IF(B25-IF(F25="Grade K",0,VALUE(SUBSTITUTE(F25,"Grade ","")))=2,"2 grades below","3+ grades below"))))</f>
        <v>3+ grades below</v>
      </c>
      <c r="H25" s="4" t="s">
        <v>192</v>
      </c>
      <c r="I25" s="4" t="n">
        <v>463</v>
      </c>
      <c r="J25" s="4" t="s">
        <v>198</v>
      </c>
      <c r="K25" s="9" t="str">
        <f aca="false">IF(J25="","",IF(B25-IF(J25="Grade K",0,VALUE(SUBSTITUTE(J25,"Grade ","")))&lt;=0,"On/above grade",IF(B25-IF(J25="Grade K",0,VALUE(SUBSTITUTE(J25,"Grade ","")))=1,"1 grade below",IF(B25-IF(J25="Grade K",0,VALUE(SUBSTITUTE(J25,"Grade ","")))=2,"2 grades below","3+ grades below"))))</f>
        <v>3+ grades below</v>
      </c>
      <c r="L25" s="4" t="s">
        <v>196</v>
      </c>
      <c r="M25" s="4" t="s">
        <v>196</v>
      </c>
      <c r="N25" s="4" t="s">
        <v>196</v>
      </c>
      <c r="O25" s="2"/>
    </row>
    <row r="26" customFormat="false" ht="15" hidden="false" customHeight="false" outlineLevel="0" collapsed="false">
      <c r="A26" s="5" t="str">
        <f aca="false">IFERROR(INDEX(Roster!$A$3:$A$148,MATCH(24,Roster!$E$3:$E$148,0)),"")</f>
        <v>S-045</v>
      </c>
      <c r="B26" s="5" t="n">
        <f aca="false">IFERROR(INDEX(Roster!$B$3:$B$148,MATCH(24,Roster!$E$3:$E$148,0)),"")</f>
        <v>5</v>
      </c>
      <c r="C26" s="5" t="str">
        <f aca="false">IF(A26="","",IF(ROW()-3&lt;$F$1,"Group A",IF(ROW()-3&lt;2*$F$1,"Group B","Group C")))</f>
        <v>Group A</v>
      </c>
      <c r="D26" s="4" t="s">
        <v>192</v>
      </c>
      <c r="E26" s="4" t="n">
        <v>448</v>
      </c>
      <c r="F26" s="4" t="s">
        <v>198</v>
      </c>
      <c r="G26" s="9" t="str">
        <f aca="false">IF(F26="","",IF(B26-IF(F26="Grade K",0,VALUE(SUBSTITUTE(F26,"Grade ","")))&lt;=0,"On/above grade",IF(B26-IF(F26="Grade K",0,VALUE(SUBSTITUTE(F26,"Grade ","")))=1,"1 grade below",IF(B26-IF(F26="Grade K",0,VALUE(SUBSTITUTE(F26,"Grade ","")))=2,"2 grades below","3+ grades below"))))</f>
        <v>3+ grades below</v>
      </c>
      <c r="H26" s="4" t="s">
        <v>192</v>
      </c>
      <c r="I26" s="4" t="n">
        <v>454</v>
      </c>
      <c r="J26" s="4" t="s">
        <v>198</v>
      </c>
      <c r="K26" s="9" t="str">
        <f aca="false">IF(J26="","",IF(B26-IF(J26="Grade K",0,VALUE(SUBSTITUTE(J26,"Grade ","")))&lt;=0,"On/above grade",IF(B26-IF(J26="Grade K",0,VALUE(SUBSTITUTE(J26,"Grade ","")))=1,"1 grade below",IF(B26-IF(J26="Grade K",0,VALUE(SUBSTITUTE(J26,"Grade ","")))=2,"2 grades below","3+ grades below"))))</f>
        <v>3+ grades below</v>
      </c>
      <c r="L26" s="4" t="s">
        <v>196</v>
      </c>
      <c r="M26" s="4" t="s">
        <v>195</v>
      </c>
      <c r="N26" s="4" t="s">
        <v>196</v>
      </c>
      <c r="O26" s="2"/>
    </row>
    <row r="27" customFormat="false" ht="15" hidden="false" customHeight="false" outlineLevel="0" collapsed="false">
      <c r="A27" s="5" t="str">
        <f aca="false">IFERROR(INDEX(Roster!$A$3:$A$148,MATCH(25,Roster!$E$3:$E$148,0)),"")</f>
        <v>S-048</v>
      </c>
      <c r="B27" s="5" t="n">
        <f aca="false">IFERROR(INDEX(Roster!$B$3:$B$148,MATCH(25,Roster!$E$3:$E$148,0)),"")</f>
        <v>8</v>
      </c>
      <c r="C27" s="5" t="str">
        <f aca="false">IF(A27="","",IF(ROW()-3&lt;$F$1,"Group A",IF(ROW()-3&lt;2*$F$1,"Group B","Group C")))</f>
        <v>Group B</v>
      </c>
      <c r="D27" s="4" t="s">
        <v>192</v>
      </c>
      <c r="E27" s="4" t="n">
        <v>647</v>
      </c>
      <c r="F27" s="4" t="s">
        <v>193</v>
      </c>
      <c r="G27" s="9" t="str">
        <f aca="false">IF(F27="","",IF(B27-IF(F27="Grade K",0,VALUE(SUBSTITUTE(F27,"Grade ","")))&lt;=0,"On/above grade",IF(B27-IF(F27="Grade K",0,VALUE(SUBSTITUTE(F27,"Grade ","")))=1,"1 grade below",IF(B27-IF(F27="Grade K",0,VALUE(SUBSTITUTE(F27,"Grade ","")))=2,"2 grades below","3+ grades below"))))</f>
        <v>On/above grade</v>
      </c>
      <c r="H27" s="4" t="s">
        <v>192</v>
      </c>
      <c r="I27" s="4" t="n">
        <v>665</v>
      </c>
      <c r="J27" s="4" t="s">
        <v>193</v>
      </c>
      <c r="K27" s="9" t="str">
        <f aca="false">IF(J27="","",IF(B27-IF(J27="Grade K",0,VALUE(SUBSTITUTE(J27,"Grade ","")))&lt;=0,"On/above grade",IF(B27-IF(J27="Grade K",0,VALUE(SUBSTITUTE(J27,"Grade ","")))=1,"1 grade below",IF(B27-IF(J27="Grade K",0,VALUE(SUBSTITUTE(J27,"Grade ","")))=2,"2 grades below","3+ grades below"))))</f>
        <v>On/above grade</v>
      </c>
      <c r="L27" s="4" t="s">
        <v>199</v>
      </c>
      <c r="M27" s="4" t="s">
        <v>196</v>
      </c>
      <c r="N27" s="4" t="s">
        <v>196</v>
      </c>
      <c r="O27" s="2"/>
    </row>
    <row r="28" customFormat="false" ht="15" hidden="false" customHeight="false" outlineLevel="0" collapsed="false">
      <c r="A28" s="5" t="str">
        <f aca="false">IFERROR(INDEX(Roster!$A$3:$A$148,MATCH(26,Roster!$E$3:$E$148,0)),"")</f>
        <v>S-049</v>
      </c>
      <c r="B28" s="5" t="n">
        <f aca="false">IFERROR(INDEX(Roster!$B$3:$B$148,MATCH(26,Roster!$E$3:$E$148,0)),"")</f>
        <v>8</v>
      </c>
      <c r="C28" s="5" t="str">
        <f aca="false">IF(A28="","",IF(ROW()-3&lt;$F$1,"Group A",IF(ROW()-3&lt;2*$F$1,"Group B","Group C")))</f>
        <v>Group B</v>
      </c>
      <c r="D28" s="4" t="s">
        <v>199</v>
      </c>
      <c r="E28" s="2"/>
      <c r="F28" s="2"/>
      <c r="G28" s="9" t="str">
        <f aca="false">IF(F28="","",IF(B28-IF(F28="Grade K",0,VALUE(SUBSTITUTE(F28,"Grade ","")))&lt;=0,"On/above grade",IF(B28-IF(F28="Grade K",0,VALUE(SUBSTITUTE(F28,"Grade ","")))=1,"1 grade below",IF(B28-IF(F28="Grade K",0,VALUE(SUBSTITUTE(F28,"Grade ","")))=2,"2 grades below","3+ grades below"))))</f>
        <v/>
      </c>
      <c r="H28" s="4" t="s">
        <v>192</v>
      </c>
      <c r="I28" s="4" t="n">
        <v>585</v>
      </c>
      <c r="J28" s="4" t="s">
        <v>194</v>
      </c>
      <c r="K28" s="9" t="str">
        <f aca="false">IF(J28="","",IF(B28-IF(J28="Grade K",0,VALUE(SUBSTITUTE(J28,"Grade ","")))&lt;=0,"On/above grade",IF(B28-IF(J28="Grade K",0,VALUE(SUBSTITUTE(J28,"Grade ","")))=1,"1 grade below",IF(B28-IF(J28="Grade K",0,VALUE(SUBSTITUTE(J28,"Grade ","")))=2,"2 grades below","3+ grades below"))))</f>
        <v>2 grades below</v>
      </c>
      <c r="L28" s="4" t="s">
        <v>195</v>
      </c>
      <c r="M28" s="4" t="s">
        <v>199</v>
      </c>
      <c r="N28" s="4" t="s">
        <v>195</v>
      </c>
      <c r="O28" s="2"/>
    </row>
    <row r="29" customFormat="false" ht="15" hidden="false" customHeight="false" outlineLevel="0" collapsed="false">
      <c r="A29" s="5" t="str">
        <f aca="false">IFERROR(INDEX(Roster!$A$3:$A$148,MATCH(27,Roster!$E$3:$E$148,0)),"")</f>
        <v>S-050</v>
      </c>
      <c r="B29" s="5" t="n">
        <f aca="false">IFERROR(INDEX(Roster!$B$3:$B$148,MATCH(27,Roster!$E$3:$E$148,0)),"")</f>
        <v>5</v>
      </c>
      <c r="C29" s="5" t="str">
        <f aca="false">IF(A29="","",IF(ROW()-3&lt;$F$1,"Group A",IF(ROW()-3&lt;2*$F$1,"Group B","Group C")))</f>
        <v>Group B</v>
      </c>
      <c r="D29" s="4" t="s">
        <v>204</v>
      </c>
      <c r="E29" s="2"/>
      <c r="F29" s="2"/>
      <c r="G29" s="9" t="str">
        <f aca="false">IF(F29="","",IF(B29-IF(F29="Grade K",0,VALUE(SUBSTITUTE(F29,"Grade ","")))&lt;=0,"On/above grade",IF(B29-IF(F29="Grade K",0,VALUE(SUBSTITUTE(F29,"Grade ","")))=1,"1 grade below",IF(B29-IF(F29="Grade K",0,VALUE(SUBSTITUTE(F29,"Grade ","")))=2,"2 grades below","3+ grades below"))))</f>
        <v/>
      </c>
      <c r="H29" s="4" t="s">
        <v>192</v>
      </c>
      <c r="I29" s="4" t="n">
        <v>536</v>
      </c>
      <c r="J29" s="4" t="s">
        <v>202</v>
      </c>
      <c r="K29" s="9" t="str">
        <f aca="false">IF(J29="","",IF(B29-IF(J29="Grade K",0,VALUE(SUBSTITUTE(J29,"Grade ","")))&lt;=0,"On/above grade",IF(B29-IF(J29="Grade K",0,VALUE(SUBSTITUTE(J29,"Grade ","")))=1,"1 grade below",IF(B29-IF(J29="Grade K",0,VALUE(SUBSTITUTE(J29,"Grade ","")))=2,"2 grades below","3+ grades below"))))</f>
        <v>1 grade below</v>
      </c>
      <c r="L29" s="4" t="s">
        <v>195</v>
      </c>
      <c r="M29" s="4" t="s">
        <v>196</v>
      </c>
      <c r="N29" s="4" t="s">
        <v>195</v>
      </c>
      <c r="O29" s="2"/>
    </row>
    <row r="30" customFormat="false" ht="15" hidden="false" customHeight="false" outlineLevel="0" collapsed="false">
      <c r="A30" s="5" t="str">
        <f aca="false">IFERROR(INDEX(Roster!$A$3:$A$148,MATCH(28,Roster!$E$3:$E$148,0)),"")</f>
        <v>S-052</v>
      </c>
      <c r="B30" s="5" t="n">
        <f aca="false">IFERROR(INDEX(Roster!$B$3:$B$148,MATCH(28,Roster!$E$3:$E$148,0)),"")</f>
        <v>5</v>
      </c>
      <c r="C30" s="5" t="str">
        <f aca="false">IF(A30="","",IF(ROW()-3&lt;$F$1,"Group A",IF(ROW()-3&lt;2*$F$1,"Group B","Group C")))</f>
        <v>Group B</v>
      </c>
      <c r="D30" s="4" t="s">
        <v>192</v>
      </c>
      <c r="E30" s="4" t="n">
        <v>436</v>
      </c>
      <c r="F30" s="4" t="s">
        <v>198</v>
      </c>
      <c r="G30" s="9" t="str">
        <f aca="false">IF(F30="","",IF(B30-IF(F30="Grade K",0,VALUE(SUBSTITUTE(F30,"Grade ","")))&lt;=0,"On/above grade",IF(B30-IF(F30="Grade K",0,VALUE(SUBSTITUTE(F30,"Grade ","")))=1,"1 grade below",IF(B30-IF(F30="Grade K",0,VALUE(SUBSTITUTE(F30,"Grade ","")))=2,"2 grades below","3+ grades below"))))</f>
        <v>3+ grades below</v>
      </c>
      <c r="H30" s="4" t="s">
        <v>192</v>
      </c>
      <c r="I30" s="4" t="n">
        <v>569</v>
      </c>
      <c r="J30" s="4" t="s">
        <v>197</v>
      </c>
      <c r="K30" s="9" t="str">
        <f aca="false">IF(J30="","",IF(B30-IF(J30="Grade K",0,VALUE(SUBSTITUTE(J30,"Grade ","")))&lt;=0,"On/above grade",IF(B30-IF(J30="Grade K",0,VALUE(SUBSTITUTE(J30,"Grade ","")))=1,"1 grade below",IF(B30-IF(J30="Grade K",0,VALUE(SUBSTITUTE(J30,"Grade ","")))=2,"2 grades below","3+ grades below"))))</f>
        <v>On/above grade</v>
      </c>
      <c r="L30" s="4" t="s">
        <v>196</v>
      </c>
      <c r="M30" s="4" t="s">
        <v>196</v>
      </c>
      <c r="N30" s="4" t="s">
        <v>196</v>
      </c>
      <c r="O30" s="2"/>
    </row>
    <row r="31" customFormat="false" ht="15" hidden="false" customHeight="false" outlineLevel="0" collapsed="false">
      <c r="A31" s="5" t="str">
        <f aca="false">IFERROR(INDEX(Roster!$A$3:$A$148,MATCH(29,Roster!$E$3:$E$148,0)),"")</f>
        <v>S-053</v>
      </c>
      <c r="B31" s="5" t="n">
        <f aca="false">IFERROR(INDEX(Roster!$B$3:$B$148,MATCH(29,Roster!$E$3:$E$148,0)),"")</f>
        <v>5</v>
      </c>
      <c r="C31" s="5" t="str">
        <f aca="false">IF(A31="","",IF(ROW()-3&lt;$F$1,"Group A",IF(ROW()-3&lt;2*$F$1,"Group B","Group C")))</f>
        <v>Group B</v>
      </c>
      <c r="D31" s="4" t="s">
        <v>192</v>
      </c>
      <c r="E31" s="4" t="n">
        <v>546</v>
      </c>
      <c r="F31" s="4" t="s">
        <v>197</v>
      </c>
      <c r="G31" s="9" t="str">
        <f aca="false">IF(F31="","",IF(B31-IF(F31="Grade K",0,VALUE(SUBSTITUTE(F31,"Grade ","")))&lt;=0,"On/above grade",IF(B31-IF(F31="Grade K",0,VALUE(SUBSTITUTE(F31,"Grade ","")))=1,"1 grade below",IF(B31-IF(F31="Grade K",0,VALUE(SUBSTITUTE(F31,"Grade ","")))=2,"2 grades below","3+ grades below"))))</f>
        <v>On/above grade</v>
      </c>
      <c r="H31" s="4" t="s">
        <v>192</v>
      </c>
      <c r="I31" s="4" t="n">
        <v>463</v>
      </c>
      <c r="J31" s="4" t="s">
        <v>198</v>
      </c>
      <c r="K31" s="9" t="str">
        <f aca="false">IF(J31="","",IF(B31-IF(J31="Grade K",0,VALUE(SUBSTITUTE(J31,"Grade ","")))&lt;=0,"On/above grade",IF(B31-IF(J31="Grade K",0,VALUE(SUBSTITUTE(J31,"Grade ","")))=1,"1 grade below",IF(B31-IF(J31="Grade K",0,VALUE(SUBSTITUTE(J31,"Grade ","")))=2,"2 grades below","3+ grades below"))))</f>
        <v>3+ grades below</v>
      </c>
      <c r="L31" s="4" t="s">
        <v>196</v>
      </c>
      <c r="M31" s="4" t="s">
        <v>196</v>
      </c>
      <c r="N31" s="4" t="s">
        <v>196</v>
      </c>
      <c r="O31" s="2"/>
    </row>
    <row r="32" customFormat="false" ht="15" hidden="false" customHeight="false" outlineLevel="0" collapsed="false">
      <c r="A32" s="5" t="str">
        <f aca="false">IFERROR(INDEX(Roster!$A$3:$A$148,MATCH(30,Roster!$E$3:$E$148,0)),"")</f>
        <v>S-058</v>
      </c>
      <c r="B32" s="5" t="n">
        <f aca="false">IFERROR(INDEX(Roster!$B$3:$B$148,MATCH(30,Roster!$E$3:$E$148,0)),"")</f>
        <v>5</v>
      </c>
      <c r="C32" s="5" t="str">
        <f aca="false">IF(A32="","",IF(ROW()-3&lt;$F$1,"Group A",IF(ROW()-3&lt;2*$F$1,"Group B","Group C")))</f>
        <v>Group B</v>
      </c>
      <c r="D32" s="4" t="s">
        <v>192</v>
      </c>
      <c r="E32" s="4" t="n">
        <v>555</v>
      </c>
      <c r="F32" s="4" t="s">
        <v>197</v>
      </c>
      <c r="G32" s="9" t="str">
        <f aca="false">IF(F32="","",IF(B32-IF(F32="Grade K",0,VALUE(SUBSTITUTE(F32,"Grade ","")))&lt;=0,"On/above grade",IF(B32-IF(F32="Grade K",0,VALUE(SUBSTITUTE(F32,"Grade ","")))=1,"1 grade below",IF(B32-IF(F32="Grade K",0,VALUE(SUBSTITUTE(F32,"Grade ","")))=2,"2 grades below","3+ grades below"))))</f>
        <v>On/above grade</v>
      </c>
      <c r="H32" s="4" t="s">
        <v>192</v>
      </c>
      <c r="I32" s="4" t="n">
        <v>530</v>
      </c>
      <c r="J32" s="4" t="s">
        <v>202</v>
      </c>
      <c r="K32" s="9" t="str">
        <f aca="false">IF(J32="","",IF(B32-IF(J32="Grade K",0,VALUE(SUBSTITUTE(J32,"Grade ","")))&lt;=0,"On/above grade",IF(B32-IF(J32="Grade K",0,VALUE(SUBSTITUTE(J32,"Grade ","")))=1,"1 grade below",IF(B32-IF(J32="Grade K",0,VALUE(SUBSTITUTE(J32,"Grade ","")))=2,"2 grades below","3+ grades below"))))</f>
        <v>1 grade below</v>
      </c>
      <c r="L32" s="4" t="s">
        <v>195</v>
      </c>
      <c r="M32" s="4" t="s">
        <v>196</v>
      </c>
      <c r="N32" s="4" t="s">
        <v>195</v>
      </c>
      <c r="O32" s="2"/>
    </row>
    <row r="33" customFormat="false" ht="15" hidden="false" customHeight="false" outlineLevel="0" collapsed="false">
      <c r="A33" s="5" t="str">
        <f aca="false">IFERROR(INDEX(Roster!$A$3:$A$148,MATCH(31,Roster!$E$3:$E$148,0)),"")</f>
        <v>S-059</v>
      </c>
      <c r="B33" s="5" t="n">
        <f aca="false">IFERROR(INDEX(Roster!$B$3:$B$148,MATCH(31,Roster!$E$3:$E$148,0)),"")</f>
        <v>5</v>
      </c>
      <c r="C33" s="5" t="str">
        <f aca="false">IF(A33="","",IF(ROW()-3&lt;$F$1,"Group A",IF(ROW()-3&lt;2*$F$1,"Group B","Group C")))</f>
        <v>Group B</v>
      </c>
      <c r="D33" s="4" t="s">
        <v>192</v>
      </c>
      <c r="E33" s="4" t="n">
        <v>555</v>
      </c>
      <c r="F33" s="4" t="s">
        <v>197</v>
      </c>
      <c r="G33" s="9" t="str">
        <f aca="false">IF(F33="","",IF(B33-IF(F33="Grade K",0,VALUE(SUBSTITUTE(F33,"Grade ","")))&lt;=0,"On/above grade",IF(B33-IF(F33="Grade K",0,VALUE(SUBSTITUTE(F33,"Grade ","")))=1,"1 grade below",IF(B33-IF(F33="Grade K",0,VALUE(SUBSTITUTE(F33,"Grade ","")))=2,"2 grades below","3+ grades below"))))</f>
        <v>On/above grade</v>
      </c>
      <c r="H33" s="4" t="s">
        <v>192</v>
      </c>
      <c r="I33" s="4" t="n">
        <v>530</v>
      </c>
      <c r="J33" s="4" t="s">
        <v>202</v>
      </c>
      <c r="K33" s="9" t="str">
        <f aca="false">IF(J33="","",IF(B33-IF(J33="Grade K",0,VALUE(SUBSTITUTE(J33,"Grade ","")))&lt;=0,"On/above grade",IF(B33-IF(J33="Grade K",0,VALUE(SUBSTITUTE(J33,"Grade ","")))=1,"1 grade below",IF(B33-IF(J33="Grade K",0,VALUE(SUBSTITUTE(J33,"Grade ","")))=2,"2 grades below","3+ grades below"))))</f>
        <v>1 grade below</v>
      </c>
      <c r="L33" s="4" t="s">
        <v>196</v>
      </c>
      <c r="M33" s="4" t="s">
        <v>195</v>
      </c>
      <c r="N33" s="4" t="s">
        <v>195</v>
      </c>
      <c r="O33" s="2"/>
    </row>
    <row r="34" customFormat="false" ht="15" hidden="false" customHeight="false" outlineLevel="0" collapsed="false">
      <c r="A34" s="5" t="str">
        <f aca="false">IFERROR(INDEX(Roster!$A$3:$A$148,MATCH(32,Roster!$E$3:$E$148,0)),"")</f>
        <v>S-060</v>
      </c>
      <c r="B34" s="5" t="n">
        <f aca="false">IFERROR(INDEX(Roster!$B$3:$B$148,MATCH(32,Roster!$E$3:$E$148,0)),"")</f>
        <v>5</v>
      </c>
      <c r="C34" s="5" t="str">
        <f aca="false">IF(A34="","",IF(ROW()-3&lt;$F$1,"Group A",IF(ROW()-3&lt;2*$F$1,"Group B","Group C")))</f>
        <v>Group B</v>
      </c>
      <c r="D34" s="4" t="s">
        <v>192</v>
      </c>
      <c r="E34" s="4" t="n">
        <v>515</v>
      </c>
      <c r="F34" s="4" t="s">
        <v>202</v>
      </c>
      <c r="G34" s="9" t="str">
        <f aca="false">IF(F34="","",IF(B34-IF(F34="Grade K",0,VALUE(SUBSTITUTE(F34,"Grade ","")))&lt;=0,"On/above grade",IF(B34-IF(F34="Grade K",0,VALUE(SUBSTITUTE(F34,"Grade ","")))=1,"1 grade below",IF(B34-IF(F34="Grade K",0,VALUE(SUBSTITUTE(F34,"Grade ","")))=2,"2 grades below","3+ grades below"))))</f>
        <v>1 grade below</v>
      </c>
      <c r="H34" s="4" t="s">
        <v>192</v>
      </c>
      <c r="I34" s="4" t="n">
        <v>433</v>
      </c>
      <c r="J34" s="4" t="s">
        <v>198</v>
      </c>
      <c r="K34" s="9" t="str">
        <f aca="false">IF(J34="","",IF(B34-IF(J34="Grade K",0,VALUE(SUBSTITUTE(J34,"Grade ","")))&lt;=0,"On/above grade",IF(B34-IF(J34="Grade K",0,VALUE(SUBSTITUTE(J34,"Grade ","")))=1,"1 grade below",IF(B34-IF(J34="Grade K",0,VALUE(SUBSTITUTE(J34,"Grade ","")))=2,"2 grades below","3+ grades below"))))</f>
        <v>3+ grades below</v>
      </c>
      <c r="L34" s="4" t="s">
        <v>195</v>
      </c>
      <c r="M34" s="4" t="s">
        <v>196</v>
      </c>
      <c r="N34" s="4" t="s">
        <v>195</v>
      </c>
      <c r="O34" s="2"/>
    </row>
    <row r="35" customFormat="false" ht="15" hidden="false" customHeight="false" outlineLevel="0" collapsed="false">
      <c r="A35" s="5" t="str">
        <f aca="false">IFERROR(INDEX(Roster!$A$3:$A$148,MATCH(33,Roster!$E$3:$E$148,0)),"")</f>
        <v>S-061</v>
      </c>
      <c r="B35" s="5" t="n">
        <f aca="false">IFERROR(INDEX(Roster!$B$3:$B$148,MATCH(33,Roster!$E$3:$E$148,0)),"")</f>
        <v>5</v>
      </c>
      <c r="C35" s="5" t="str">
        <f aca="false">IF(A35="","",IF(ROW()-3&lt;$F$1,"Group A",IF(ROW()-3&lt;2*$F$1,"Group B","Group C")))</f>
        <v>Group B</v>
      </c>
      <c r="D35" s="4" t="s">
        <v>199</v>
      </c>
      <c r="E35" s="2"/>
      <c r="F35" s="2"/>
      <c r="G35" s="9" t="str">
        <f aca="false">IF(F35="","",IF(B35-IF(F35="Grade K",0,VALUE(SUBSTITUTE(F35,"Grade ","")))&lt;=0,"On/above grade",IF(B35-IF(F35="Grade K",0,VALUE(SUBSTITUTE(F35,"Grade ","")))=1,"1 grade below",IF(B35-IF(F35="Grade K",0,VALUE(SUBSTITUTE(F35,"Grade ","")))=2,"2 grades below","3+ grades below"))))</f>
        <v/>
      </c>
      <c r="H35" s="4" t="s">
        <v>192</v>
      </c>
      <c r="I35" s="4" t="n">
        <v>508</v>
      </c>
      <c r="J35" s="4" t="s">
        <v>202</v>
      </c>
      <c r="K35" s="9" t="str">
        <f aca="false">IF(J35="","",IF(B35-IF(J35="Grade K",0,VALUE(SUBSTITUTE(J35,"Grade ","")))&lt;=0,"On/above grade",IF(B35-IF(J35="Grade K",0,VALUE(SUBSTITUTE(J35,"Grade ","")))=1,"1 grade below",IF(B35-IF(J35="Grade K",0,VALUE(SUBSTITUTE(J35,"Grade ","")))=2,"2 grades below","3+ grades below"))))</f>
        <v>1 grade below</v>
      </c>
      <c r="L35" s="4" t="s">
        <v>196</v>
      </c>
      <c r="M35" s="4" t="s">
        <v>199</v>
      </c>
      <c r="N35" s="4" t="s">
        <v>195</v>
      </c>
      <c r="O35" s="2"/>
    </row>
    <row r="36" customFormat="false" ht="15" hidden="false" customHeight="false" outlineLevel="0" collapsed="false">
      <c r="A36" s="5" t="str">
        <f aca="false">IFERROR(INDEX(Roster!$A$3:$A$148,MATCH(34,Roster!$E$3:$E$148,0)),"")</f>
        <v>S-063</v>
      </c>
      <c r="B36" s="5" t="n">
        <f aca="false">IFERROR(INDEX(Roster!$B$3:$B$148,MATCH(34,Roster!$E$3:$E$148,0)),"")</f>
        <v>5</v>
      </c>
      <c r="C36" s="5" t="str">
        <f aca="false">IF(A36="","",IF(ROW()-3&lt;$F$1,"Group A",IF(ROW()-3&lt;2*$F$1,"Group B","Group C")))</f>
        <v>Group B</v>
      </c>
      <c r="D36" s="4" t="s">
        <v>192</v>
      </c>
      <c r="E36" s="4" t="n">
        <v>554</v>
      </c>
      <c r="F36" s="4" t="s">
        <v>197</v>
      </c>
      <c r="G36" s="9" t="str">
        <f aca="false">IF(F36="","",IF(B36-IF(F36="Grade K",0,VALUE(SUBSTITUTE(F36,"Grade ","")))&lt;=0,"On/above grade",IF(B36-IF(F36="Grade K",0,VALUE(SUBSTITUTE(F36,"Grade ","")))=1,"1 grade below",IF(B36-IF(F36="Grade K",0,VALUE(SUBSTITUTE(F36,"Grade ","")))=2,"2 grades below","3+ grades below"))))</f>
        <v>On/above grade</v>
      </c>
      <c r="H36" s="4" t="s">
        <v>192</v>
      </c>
      <c r="I36" s="4" t="n">
        <v>482</v>
      </c>
      <c r="J36" s="4" t="s">
        <v>201</v>
      </c>
      <c r="K36" s="9" t="str">
        <f aca="false">IF(J36="","",IF(B36-IF(J36="Grade K",0,VALUE(SUBSTITUTE(J36,"Grade ","")))&lt;=0,"On/above grade",IF(B36-IF(J36="Grade K",0,VALUE(SUBSTITUTE(J36,"Grade ","")))=1,"1 grade below",IF(B36-IF(J36="Grade K",0,VALUE(SUBSTITUTE(J36,"Grade ","")))=2,"2 grades below","3+ grades below"))))</f>
        <v>2 grades below</v>
      </c>
      <c r="L36" s="4" t="s">
        <v>196</v>
      </c>
      <c r="M36" s="4" t="s">
        <v>196</v>
      </c>
      <c r="N36" s="4" t="s">
        <v>195</v>
      </c>
      <c r="O36" s="2"/>
    </row>
    <row r="37" customFormat="false" ht="15" hidden="false" customHeight="false" outlineLevel="0" collapsed="false">
      <c r="A37" s="5" t="str">
        <f aca="false">IFERROR(INDEX(Roster!$A$3:$A$148,MATCH(35,Roster!$E$3:$E$148,0)),"")</f>
        <v>S-069</v>
      </c>
      <c r="B37" s="5" t="n">
        <f aca="false">IFERROR(INDEX(Roster!$B$3:$B$148,MATCH(35,Roster!$E$3:$E$148,0)),"")</f>
        <v>5</v>
      </c>
      <c r="C37" s="5" t="str">
        <f aca="false">IF(A37="","",IF(ROW()-3&lt;$F$1,"Group A",IF(ROW()-3&lt;2*$F$1,"Group B","Group C")))</f>
        <v>Group B</v>
      </c>
      <c r="D37" s="4" t="s">
        <v>192</v>
      </c>
      <c r="E37" s="4" t="n">
        <v>533</v>
      </c>
      <c r="F37" s="4" t="s">
        <v>202</v>
      </c>
      <c r="G37" s="9" t="str">
        <f aca="false">IF(F37="","",IF(B37-IF(F37="Grade K",0,VALUE(SUBSTITUTE(F37,"Grade ","")))&lt;=0,"On/above grade",IF(B37-IF(F37="Grade K",0,VALUE(SUBSTITUTE(F37,"Grade ","")))=1,"1 grade below",IF(B37-IF(F37="Grade K",0,VALUE(SUBSTITUTE(F37,"Grade ","")))=2,"2 grades below","3+ grades below"))))</f>
        <v>1 grade below</v>
      </c>
      <c r="H37" s="4" t="s">
        <v>204</v>
      </c>
      <c r="I37" s="2"/>
      <c r="J37" s="2"/>
      <c r="K37" s="9" t="str">
        <f aca="false">IF(J37="","",IF(B37-IF(J37="Grade K",0,VALUE(SUBSTITUTE(J37,"Grade ","")))&lt;=0,"On/above grade",IF(B37-IF(J37="Grade K",0,VALUE(SUBSTITUTE(J37,"Grade ","")))=1,"1 grade below",IF(B37-IF(J37="Grade K",0,VALUE(SUBSTITUTE(J37,"Grade ","")))=2,"2 grades below","3+ grades below"))))</f>
        <v/>
      </c>
      <c r="L37" s="4" t="s">
        <v>196</v>
      </c>
      <c r="M37" s="4" t="s">
        <v>196</v>
      </c>
      <c r="N37" s="4" t="s">
        <v>196</v>
      </c>
      <c r="O37" s="2"/>
    </row>
    <row r="38" customFormat="false" ht="15" hidden="false" customHeight="false" outlineLevel="0" collapsed="false">
      <c r="A38" s="5" t="str">
        <f aca="false">IFERROR(INDEX(Roster!$A$3:$A$148,MATCH(36,Roster!$E$3:$E$148,0)),"")</f>
        <v>S-073</v>
      </c>
      <c r="B38" s="5" t="n">
        <f aca="false">IFERROR(INDEX(Roster!$B$3:$B$148,MATCH(36,Roster!$E$3:$E$148,0)),"")</f>
        <v>5</v>
      </c>
      <c r="C38" s="5" t="str">
        <f aca="false">IF(A38="","",IF(ROW()-3&lt;$F$1,"Group A",IF(ROW()-3&lt;2*$F$1,"Group B","Group C")))</f>
        <v>Group B</v>
      </c>
      <c r="D38" s="4" t="s">
        <v>199</v>
      </c>
      <c r="E38" s="2"/>
      <c r="F38" s="2"/>
      <c r="G38" s="9" t="str">
        <f aca="false">IF(F38="","",IF(B38-IF(F38="Grade K",0,VALUE(SUBSTITUTE(F38,"Grade ","")))&lt;=0,"On/above grade",IF(B38-IF(F38="Grade K",0,VALUE(SUBSTITUTE(F38,"Grade ","")))=1,"1 grade below",IF(B38-IF(F38="Grade K",0,VALUE(SUBSTITUTE(F38,"Grade ","")))=2,"2 grades below","3+ grades below"))))</f>
        <v/>
      </c>
      <c r="H38" s="4" t="s">
        <v>192</v>
      </c>
      <c r="I38" s="4" t="n">
        <v>575</v>
      </c>
      <c r="J38" s="4" t="s">
        <v>197</v>
      </c>
      <c r="K38" s="9" t="str">
        <f aca="false">IF(J38="","",IF(B38-IF(J38="Grade K",0,VALUE(SUBSTITUTE(J38,"Grade ","")))&lt;=0,"On/above grade",IF(B38-IF(J38="Grade K",0,VALUE(SUBSTITUTE(J38,"Grade ","")))=1,"1 grade below",IF(B38-IF(J38="Grade K",0,VALUE(SUBSTITUTE(J38,"Grade ","")))=2,"2 grades below","3+ grades below"))))</f>
        <v>On/above grade</v>
      </c>
      <c r="L38" s="4" t="s">
        <v>195</v>
      </c>
      <c r="M38" s="4" t="s">
        <v>196</v>
      </c>
      <c r="N38" s="4" t="s">
        <v>196</v>
      </c>
      <c r="O38" s="2"/>
    </row>
    <row r="39" customFormat="false" ht="15" hidden="false" customHeight="false" outlineLevel="0" collapsed="false">
      <c r="A39" s="5" t="str">
        <f aca="false">IFERROR(INDEX(Roster!$A$3:$A$148,MATCH(37,Roster!$E$3:$E$148,0)),"")</f>
        <v>S-078</v>
      </c>
      <c r="B39" s="5" t="n">
        <f aca="false">IFERROR(INDEX(Roster!$B$3:$B$148,MATCH(37,Roster!$E$3:$E$148,0)),"")</f>
        <v>5</v>
      </c>
      <c r="C39" s="5" t="str">
        <f aca="false">IF(A39="","",IF(ROW()-3&lt;$F$1,"Group A",IF(ROW()-3&lt;2*$F$1,"Group B","Group C")))</f>
        <v>Group B</v>
      </c>
      <c r="D39" s="4" t="s">
        <v>199</v>
      </c>
      <c r="E39" s="2"/>
      <c r="F39" s="2"/>
      <c r="G39" s="9" t="str">
        <f aca="false">IF(F39="","",IF(B39-IF(F39="Grade K",0,VALUE(SUBSTITUTE(F39,"Grade ","")))&lt;=0,"On/above grade",IF(B39-IF(F39="Grade K",0,VALUE(SUBSTITUTE(F39,"Grade ","")))=1,"1 grade below",IF(B39-IF(F39="Grade K",0,VALUE(SUBSTITUTE(F39,"Grade ","")))=2,"2 grades below","3+ grades below"))))</f>
        <v/>
      </c>
      <c r="H39" s="4" t="s">
        <v>192</v>
      </c>
      <c r="I39" s="4" t="n">
        <v>430</v>
      </c>
      <c r="J39" s="4" t="s">
        <v>198</v>
      </c>
      <c r="K39" s="9" t="str">
        <f aca="false">IF(J39="","",IF(B39-IF(J39="Grade K",0,VALUE(SUBSTITUTE(J39,"Grade ","")))&lt;=0,"On/above grade",IF(B39-IF(J39="Grade K",0,VALUE(SUBSTITUTE(J39,"Grade ","")))=1,"1 grade below",IF(B39-IF(J39="Grade K",0,VALUE(SUBSTITUTE(J39,"Grade ","")))=2,"2 grades below","3+ grades below"))))</f>
        <v>3+ grades below</v>
      </c>
      <c r="L39" s="4" t="s">
        <v>196</v>
      </c>
      <c r="M39" s="4" t="s">
        <v>196</v>
      </c>
      <c r="N39" s="4" t="s">
        <v>196</v>
      </c>
      <c r="O39" s="2"/>
    </row>
    <row r="40" customFormat="false" ht="15" hidden="false" customHeight="false" outlineLevel="0" collapsed="false">
      <c r="A40" s="5" t="str">
        <f aca="false">IFERROR(INDEX(Roster!$A$3:$A$148,MATCH(38,Roster!$E$3:$E$148,0)),"")</f>
        <v>S-080</v>
      </c>
      <c r="B40" s="5" t="n">
        <f aca="false">IFERROR(INDEX(Roster!$B$3:$B$148,MATCH(38,Roster!$E$3:$E$148,0)),"")</f>
        <v>5</v>
      </c>
      <c r="C40" s="5" t="str">
        <f aca="false">IF(A40="","",IF(ROW()-3&lt;$F$1,"Group A",IF(ROW()-3&lt;2*$F$1,"Group B","Group C")))</f>
        <v>Group B</v>
      </c>
      <c r="D40" s="4" t="s">
        <v>192</v>
      </c>
      <c r="E40" s="4" t="n">
        <v>553</v>
      </c>
      <c r="F40" s="4" t="s">
        <v>197</v>
      </c>
      <c r="G40" s="9" t="str">
        <f aca="false">IF(F40="","",IF(B40-IF(F40="Grade K",0,VALUE(SUBSTITUTE(F40,"Grade ","")))&lt;=0,"On/above grade",IF(B40-IF(F40="Grade K",0,VALUE(SUBSTITUTE(F40,"Grade ","")))=1,"1 grade below",IF(B40-IF(F40="Grade K",0,VALUE(SUBSTITUTE(F40,"Grade ","")))=2,"2 grades below","3+ grades below"))))</f>
        <v>On/above grade</v>
      </c>
      <c r="H40" s="4" t="s">
        <v>199</v>
      </c>
      <c r="I40" s="2"/>
      <c r="J40" s="2"/>
      <c r="K40" s="9" t="str">
        <f aca="false">IF(J40="","",IF(B40-IF(J40="Grade K",0,VALUE(SUBSTITUTE(J40,"Grade ","")))&lt;=0,"On/above grade",IF(B40-IF(J40="Grade K",0,VALUE(SUBSTITUTE(J40,"Grade ","")))=1,"1 grade below",IF(B40-IF(J40="Grade K",0,VALUE(SUBSTITUTE(J40,"Grade ","")))=2,"2 grades below","3+ grades below"))))</f>
        <v/>
      </c>
      <c r="L40" s="4" t="s">
        <v>196</v>
      </c>
      <c r="M40" s="4" t="s">
        <v>196</v>
      </c>
      <c r="N40" s="4" t="s">
        <v>195</v>
      </c>
      <c r="O40" s="2"/>
    </row>
    <row r="41" customFormat="false" ht="15" hidden="false" customHeight="false" outlineLevel="0" collapsed="false">
      <c r="A41" s="5" t="str">
        <f aca="false">IFERROR(INDEX(Roster!$A$3:$A$148,MATCH(39,Roster!$E$3:$E$148,0)),"")</f>
        <v>S-082</v>
      </c>
      <c r="B41" s="5" t="n">
        <f aca="false">IFERROR(INDEX(Roster!$B$3:$B$148,MATCH(39,Roster!$E$3:$E$148,0)),"")</f>
        <v>5</v>
      </c>
      <c r="C41" s="5" t="str">
        <f aca="false">IF(A41="","",IF(ROW()-3&lt;$F$1,"Group A",IF(ROW()-3&lt;2*$F$1,"Group B","Group C")))</f>
        <v>Group B</v>
      </c>
      <c r="D41" s="4" t="s">
        <v>192</v>
      </c>
      <c r="E41" s="4" t="n">
        <v>474</v>
      </c>
      <c r="F41" s="4" t="s">
        <v>201</v>
      </c>
      <c r="G41" s="9" t="str">
        <f aca="false">IF(F41="","",IF(B41-IF(F41="Grade K",0,VALUE(SUBSTITUTE(F41,"Grade ","")))&lt;=0,"On/above grade",IF(B41-IF(F41="Grade K",0,VALUE(SUBSTITUTE(F41,"Grade ","")))=1,"1 grade below",IF(B41-IF(F41="Grade K",0,VALUE(SUBSTITUTE(F41,"Grade ","")))=2,"2 grades below","3+ grades below"))))</f>
        <v>2 grades below</v>
      </c>
      <c r="H41" s="4" t="s">
        <v>199</v>
      </c>
      <c r="I41" s="2"/>
      <c r="J41" s="2"/>
      <c r="K41" s="9" t="str">
        <f aca="false">IF(J41="","",IF(B41-IF(J41="Grade K",0,VALUE(SUBSTITUTE(J41,"Grade ","")))&lt;=0,"On/above grade",IF(B41-IF(J41="Grade K",0,VALUE(SUBSTITUTE(J41,"Grade ","")))=1,"1 grade below",IF(B41-IF(J41="Grade K",0,VALUE(SUBSTITUTE(J41,"Grade ","")))=2,"2 grades below","3+ grades below"))))</f>
        <v/>
      </c>
      <c r="L41" s="4" t="s">
        <v>196</v>
      </c>
      <c r="M41" s="4" t="s">
        <v>196</v>
      </c>
      <c r="N41" s="4" t="s">
        <v>195</v>
      </c>
      <c r="O41" s="2"/>
    </row>
    <row r="42" customFormat="false" ht="15" hidden="false" customHeight="false" outlineLevel="0" collapsed="false">
      <c r="A42" s="5" t="str">
        <f aca="false">IFERROR(INDEX(Roster!$A$3:$A$148,MATCH(40,Roster!$E$3:$E$148,0)),"")</f>
        <v>S-083</v>
      </c>
      <c r="B42" s="5" t="n">
        <f aca="false">IFERROR(INDEX(Roster!$B$3:$B$148,MATCH(40,Roster!$E$3:$E$148,0)),"")</f>
        <v>5</v>
      </c>
      <c r="C42" s="5" t="str">
        <f aca="false">IF(A42="","",IF(ROW()-3&lt;$F$1,"Group A",IF(ROW()-3&lt;2*$F$1,"Group B","Group C")))</f>
        <v>Group B</v>
      </c>
      <c r="D42" s="4" t="s">
        <v>192</v>
      </c>
      <c r="E42" s="4" t="n">
        <v>461</v>
      </c>
      <c r="F42" s="4" t="s">
        <v>198</v>
      </c>
      <c r="G42" s="9" t="str">
        <f aca="false">IF(F42="","",IF(B42-IF(F42="Grade K",0,VALUE(SUBSTITUTE(F42,"Grade ","")))&lt;=0,"On/above grade",IF(B42-IF(F42="Grade K",0,VALUE(SUBSTITUTE(F42,"Grade ","")))=1,"1 grade below",IF(B42-IF(F42="Grade K",0,VALUE(SUBSTITUTE(F42,"Grade ","")))=2,"2 grades below","3+ grades below"))))</f>
        <v>3+ grades below</v>
      </c>
      <c r="H42" s="4" t="s">
        <v>192</v>
      </c>
      <c r="I42" s="4" t="n">
        <v>558</v>
      </c>
      <c r="J42" s="4" t="s">
        <v>197</v>
      </c>
      <c r="K42" s="9" t="str">
        <f aca="false">IF(J42="","",IF(B42-IF(J42="Grade K",0,VALUE(SUBSTITUTE(J42,"Grade ","")))&lt;=0,"On/above grade",IF(B42-IF(J42="Grade K",0,VALUE(SUBSTITUTE(J42,"Grade ","")))=1,"1 grade below",IF(B42-IF(J42="Grade K",0,VALUE(SUBSTITUTE(J42,"Grade ","")))=2,"2 grades below","3+ grades below"))))</f>
        <v>On/above grade</v>
      </c>
      <c r="L42" s="4" t="s">
        <v>196</v>
      </c>
      <c r="M42" s="4" t="s">
        <v>196</v>
      </c>
      <c r="N42" s="4" t="s">
        <v>196</v>
      </c>
      <c r="O42" s="2"/>
    </row>
    <row r="43" customFormat="false" ht="15" hidden="false" customHeight="false" outlineLevel="0" collapsed="false">
      <c r="A43" s="5" t="str">
        <f aca="false">IFERROR(INDEX(Roster!$A$3:$A$148,MATCH(41,Roster!$E$3:$E$148,0)),"")</f>
        <v>S-087</v>
      </c>
      <c r="B43" s="5" t="n">
        <f aca="false">IFERROR(INDEX(Roster!$B$3:$B$148,MATCH(41,Roster!$E$3:$E$148,0)),"")</f>
        <v>5</v>
      </c>
      <c r="C43" s="5" t="str">
        <f aca="false">IF(A43="","",IF(ROW()-3&lt;$F$1,"Group A",IF(ROW()-3&lt;2*$F$1,"Group B","Group C")))</f>
        <v>Group B</v>
      </c>
      <c r="D43" s="4" t="s">
        <v>192</v>
      </c>
      <c r="E43" s="4" t="n">
        <v>470</v>
      </c>
      <c r="F43" s="4" t="s">
        <v>198</v>
      </c>
      <c r="G43" s="9" t="str">
        <f aca="false">IF(F43="","",IF(B43-IF(F43="Grade K",0,VALUE(SUBSTITUTE(F43,"Grade ","")))&lt;=0,"On/above grade",IF(B43-IF(F43="Grade K",0,VALUE(SUBSTITUTE(F43,"Grade ","")))=1,"1 grade below",IF(B43-IF(F43="Grade K",0,VALUE(SUBSTITUTE(F43,"Grade ","")))=2,"2 grades below","3+ grades below"))))</f>
        <v>3+ grades below</v>
      </c>
      <c r="H43" s="4" t="s">
        <v>192</v>
      </c>
      <c r="I43" s="4" t="n">
        <v>534</v>
      </c>
      <c r="J43" s="4" t="s">
        <v>202</v>
      </c>
      <c r="K43" s="9" t="str">
        <f aca="false">IF(J43="","",IF(B43-IF(J43="Grade K",0,VALUE(SUBSTITUTE(J43,"Grade ","")))&lt;=0,"On/above grade",IF(B43-IF(J43="Grade K",0,VALUE(SUBSTITUTE(J43,"Grade ","")))=1,"1 grade below",IF(B43-IF(J43="Grade K",0,VALUE(SUBSTITUTE(J43,"Grade ","")))=2,"2 grades below","3+ grades below"))))</f>
        <v>1 grade below</v>
      </c>
      <c r="L43" s="4" t="s">
        <v>196</v>
      </c>
      <c r="M43" s="4" t="s">
        <v>195</v>
      </c>
      <c r="N43" s="4" t="s">
        <v>196</v>
      </c>
      <c r="O43" s="2"/>
    </row>
    <row r="44" customFormat="false" ht="15" hidden="false" customHeight="false" outlineLevel="0" collapsed="false">
      <c r="A44" s="5" t="str">
        <f aca="false">IFERROR(INDEX(Roster!$A$3:$A$148,MATCH(42,Roster!$E$3:$E$148,0)),"")</f>
        <v>S-088</v>
      </c>
      <c r="B44" s="5" t="n">
        <f aca="false">IFERROR(INDEX(Roster!$B$3:$B$148,MATCH(42,Roster!$E$3:$E$148,0)),"")</f>
        <v>5</v>
      </c>
      <c r="C44" s="5" t="str">
        <f aca="false">IF(A44="","",IF(ROW()-3&lt;$F$1,"Group A",IF(ROW()-3&lt;2*$F$1,"Group B","Group C")))</f>
        <v>Group B</v>
      </c>
      <c r="D44" s="4" t="s">
        <v>192</v>
      </c>
      <c r="E44" s="4" t="n">
        <v>563</v>
      </c>
      <c r="F44" s="4" t="s">
        <v>197</v>
      </c>
      <c r="G44" s="9" t="str">
        <f aca="false">IF(F44="","",IF(B44-IF(F44="Grade K",0,VALUE(SUBSTITUTE(F44,"Grade ","")))&lt;=0,"On/above grade",IF(B44-IF(F44="Grade K",0,VALUE(SUBSTITUTE(F44,"Grade ","")))=1,"1 grade below",IF(B44-IF(F44="Grade K",0,VALUE(SUBSTITUTE(F44,"Grade ","")))=2,"2 grades below","3+ grades below"))))</f>
        <v>On/above grade</v>
      </c>
      <c r="H44" s="4" t="s">
        <v>192</v>
      </c>
      <c r="I44" s="4" t="n">
        <v>550</v>
      </c>
      <c r="J44" s="4" t="s">
        <v>197</v>
      </c>
      <c r="K44" s="9" t="str">
        <f aca="false">IF(J44="","",IF(B44-IF(J44="Grade K",0,VALUE(SUBSTITUTE(J44,"Grade ","")))&lt;=0,"On/above grade",IF(B44-IF(J44="Grade K",0,VALUE(SUBSTITUTE(J44,"Grade ","")))=1,"1 grade below",IF(B44-IF(J44="Grade K",0,VALUE(SUBSTITUTE(J44,"Grade ","")))=2,"2 grades below","3+ grades below"))))</f>
        <v>On/above grade</v>
      </c>
      <c r="L44" s="4" t="s">
        <v>196</v>
      </c>
      <c r="M44" s="4" t="s">
        <v>196</v>
      </c>
      <c r="N44" s="4" t="s">
        <v>195</v>
      </c>
      <c r="O44" s="2"/>
    </row>
    <row r="45" customFormat="false" ht="15" hidden="false" customHeight="false" outlineLevel="0" collapsed="false">
      <c r="A45" s="5" t="str">
        <f aca="false">IFERROR(INDEX(Roster!$A$3:$A$148,MATCH(43,Roster!$E$3:$E$148,0)),"")</f>
        <v>S-089</v>
      </c>
      <c r="B45" s="5" t="n">
        <f aca="false">IFERROR(INDEX(Roster!$B$3:$B$148,MATCH(43,Roster!$E$3:$E$148,0)),"")</f>
        <v>5</v>
      </c>
      <c r="C45" s="5" t="str">
        <f aca="false">IF(A45="","",IF(ROW()-3&lt;$F$1,"Group A",IF(ROW()-3&lt;2*$F$1,"Group B","Group C")))</f>
        <v>Group B</v>
      </c>
      <c r="D45" s="4" t="s">
        <v>192</v>
      </c>
      <c r="E45" s="4" t="n">
        <v>547</v>
      </c>
      <c r="F45" s="4" t="s">
        <v>197</v>
      </c>
      <c r="G45" s="9" t="str">
        <f aca="false">IF(F45="","",IF(B45-IF(F45="Grade K",0,VALUE(SUBSTITUTE(F45,"Grade ","")))&lt;=0,"On/above grade",IF(B45-IF(F45="Grade K",0,VALUE(SUBSTITUTE(F45,"Grade ","")))=1,"1 grade below",IF(B45-IF(F45="Grade K",0,VALUE(SUBSTITUTE(F45,"Grade ","")))=2,"2 grades below","3+ grades below"))))</f>
        <v>On/above grade</v>
      </c>
      <c r="H45" s="4" t="s">
        <v>192</v>
      </c>
      <c r="I45" s="4" t="n">
        <v>501</v>
      </c>
      <c r="J45" s="4" t="s">
        <v>201</v>
      </c>
      <c r="K45" s="9" t="str">
        <f aca="false">IF(J45="","",IF(B45-IF(J45="Grade K",0,VALUE(SUBSTITUTE(J45,"Grade ","")))&lt;=0,"On/above grade",IF(B45-IF(J45="Grade K",0,VALUE(SUBSTITUTE(J45,"Grade ","")))=1,"1 grade below",IF(B45-IF(J45="Grade K",0,VALUE(SUBSTITUTE(J45,"Grade ","")))=2,"2 grades below","3+ grades below"))))</f>
        <v>2 grades below</v>
      </c>
      <c r="L45" s="4" t="s">
        <v>196</v>
      </c>
      <c r="M45" s="4" t="s">
        <v>195</v>
      </c>
      <c r="N45" s="4" t="s">
        <v>196</v>
      </c>
      <c r="O45" s="2"/>
    </row>
    <row r="46" customFormat="false" ht="15" hidden="false" customHeight="false" outlineLevel="0" collapsed="false">
      <c r="A46" s="5" t="str">
        <f aca="false">IFERROR(INDEX(Roster!$A$3:$A$148,MATCH(44,Roster!$E$3:$E$148,0)),"")</f>
        <v>S-091</v>
      </c>
      <c r="B46" s="5" t="n">
        <f aca="false">IFERROR(INDEX(Roster!$B$3:$B$148,MATCH(44,Roster!$E$3:$E$148,0)),"")</f>
        <v>5</v>
      </c>
      <c r="C46" s="5" t="str">
        <f aca="false">IF(A46="","",IF(ROW()-3&lt;$F$1,"Group A",IF(ROW()-3&lt;2*$F$1,"Group B","Group C")))</f>
        <v>Group B</v>
      </c>
      <c r="D46" s="4" t="s">
        <v>192</v>
      </c>
      <c r="E46" s="4" t="n">
        <v>492</v>
      </c>
      <c r="F46" s="4" t="s">
        <v>201</v>
      </c>
      <c r="G46" s="9" t="str">
        <f aca="false">IF(F46="","",IF(B46-IF(F46="Grade K",0,VALUE(SUBSTITUTE(F46,"Grade ","")))&lt;=0,"On/above grade",IF(B46-IF(F46="Grade K",0,VALUE(SUBSTITUTE(F46,"Grade ","")))=1,"1 grade below",IF(B46-IF(F46="Grade K",0,VALUE(SUBSTITUTE(F46,"Grade ","")))=2,"2 grades below","3+ grades below"))))</f>
        <v>2 grades below</v>
      </c>
      <c r="H46" s="4" t="s">
        <v>192</v>
      </c>
      <c r="I46" s="4" t="n">
        <v>466</v>
      </c>
      <c r="J46" s="4" t="s">
        <v>201</v>
      </c>
      <c r="K46" s="9" t="str">
        <f aca="false">IF(J46="","",IF(B46-IF(J46="Grade K",0,VALUE(SUBSTITUTE(J46,"Grade ","")))&lt;=0,"On/above grade",IF(B46-IF(J46="Grade K",0,VALUE(SUBSTITUTE(J46,"Grade ","")))=1,"1 grade below",IF(B46-IF(J46="Grade K",0,VALUE(SUBSTITUTE(J46,"Grade ","")))=2,"2 grades below","3+ grades below"))))</f>
        <v>2 grades below</v>
      </c>
      <c r="L46" s="4" t="s">
        <v>196</v>
      </c>
      <c r="M46" s="4" t="s">
        <v>199</v>
      </c>
      <c r="N46" s="4" t="s">
        <v>196</v>
      </c>
      <c r="O46" s="2"/>
    </row>
    <row r="47" customFormat="false" ht="15" hidden="false" customHeight="false" outlineLevel="0" collapsed="false">
      <c r="A47" s="5" t="str">
        <f aca="false">IFERROR(INDEX(Roster!$A$3:$A$148,MATCH(45,Roster!$E$3:$E$148,0)),"")</f>
        <v>S-092</v>
      </c>
      <c r="B47" s="5" t="n">
        <f aca="false">IFERROR(INDEX(Roster!$B$3:$B$148,MATCH(45,Roster!$E$3:$E$148,0)),"")</f>
        <v>8</v>
      </c>
      <c r="C47" s="5" t="str">
        <f aca="false">IF(A47="","",IF(ROW()-3&lt;$F$1,"Group A",IF(ROW()-3&lt;2*$F$1,"Group B","Group C")))</f>
        <v>Group B</v>
      </c>
      <c r="D47" s="4" t="s">
        <v>192</v>
      </c>
      <c r="E47" s="4" t="n">
        <v>585</v>
      </c>
      <c r="F47" s="4" t="s">
        <v>194</v>
      </c>
      <c r="G47" s="9" t="str">
        <f aca="false">IF(F47="","",IF(B47-IF(F47="Grade K",0,VALUE(SUBSTITUTE(F47,"Grade ","")))&lt;=0,"On/above grade",IF(B47-IF(F47="Grade K",0,VALUE(SUBSTITUTE(F47,"Grade ","")))=1,"1 grade below",IF(B47-IF(F47="Grade K",0,VALUE(SUBSTITUTE(F47,"Grade ","")))=2,"2 grades below","3+ grades below"))))</f>
        <v>2 grades below</v>
      </c>
      <c r="H47" s="4" t="s">
        <v>192</v>
      </c>
      <c r="I47" s="4" t="n">
        <v>667</v>
      </c>
      <c r="J47" s="4" t="s">
        <v>193</v>
      </c>
      <c r="K47" s="9" t="str">
        <f aca="false">IF(J47="","",IF(B47-IF(J47="Grade K",0,VALUE(SUBSTITUTE(J47,"Grade ","")))&lt;=0,"On/above grade",IF(B47-IF(J47="Grade K",0,VALUE(SUBSTITUTE(J47,"Grade ","")))=1,"1 grade below",IF(B47-IF(J47="Grade K",0,VALUE(SUBSTITUTE(J47,"Grade ","")))=2,"2 grades below","3+ grades below"))))</f>
        <v>On/above grade</v>
      </c>
      <c r="L47" s="4" t="s">
        <v>196</v>
      </c>
      <c r="M47" s="4" t="s">
        <v>196</v>
      </c>
      <c r="N47" s="4" t="s">
        <v>195</v>
      </c>
      <c r="O47" s="2"/>
    </row>
    <row r="48" customFormat="false" ht="15" hidden="false" customHeight="false" outlineLevel="0" collapsed="false">
      <c r="A48" s="5" t="str">
        <f aca="false">IFERROR(INDEX(Roster!$A$3:$A$148,MATCH(46,Roster!$E$3:$E$148,0)),"")</f>
        <v>S-094</v>
      </c>
      <c r="B48" s="5" t="n">
        <f aca="false">IFERROR(INDEX(Roster!$B$3:$B$148,MATCH(46,Roster!$E$3:$E$148,0)),"")</f>
        <v>8</v>
      </c>
      <c r="C48" s="5" t="str">
        <f aca="false">IF(A48="","",IF(ROW()-3&lt;$F$1,"Group A",IF(ROW()-3&lt;2*$F$1,"Group B","Group C")))</f>
        <v>Group B</v>
      </c>
      <c r="D48" s="4" t="s">
        <v>192</v>
      </c>
      <c r="E48" s="4" t="n">
        <v>677</v>
      </c>
      <c r="F48" s="4" t="s">
        <v>193</v>
      </c>
      <c r="G48" s="9" t="str">
        <f aca="false">IF(F48="","",IF(B48-IF(F48="Grade K",0,VALUE(SUBSTITUTE(F48,"Grade ","")))&lt;=0,"On/above grade",IF(B48-IF(F48="Grade K",0,VALUE(SUBSTITUTE(F48,"Grade ","")))=1,"1 grade below",IF(B48-IF(F48="Grade K",0,VALUE(SUBSTITUTE(F48,"Grade ","")))=2,"2 grades below","3+ grades below"))))</f>
        <v>On/above grade</v>
      </c>
      <c r="H48" s="4" t="s">
        <v>192</v>
      </c>
      <c r="I48" s="4" t="n">
        <v>602</v>
      </c>
      <c r="J48" s="4" t="s">
        <v>194</v>
      </c>
      <c r="K48" s="9" t="str">
        <f aca="false">IF(J48="","",IF(B48-IF(J48="Grade K",0,VALUE(SUBSTITUTE(J48,"Grade ","")))&lt;=0,"On/above grade",IF(B48-IF(J48="Grade K",0,VALUE(SUBSTITUTE(J48,"Grade ","")))=1,"1 grade below",IF(B48-IF(J48="Grade K",0,VALUE(SUBSTITUTE(J48,"Grade ","")))=2,"2 grades below","3+ grades below"))))</f>
        <v>2 grades below</v>
      </c>
      <c r="L48" s="4" t="s">
        <v>196</v>
      </c>
      <c r="M48" s="4" t="s">
        <v>196</v>
      </c>
      <c r="N48" s="4" t="s">
        <v>196</v>
      </c>
      <c r="O48" s="2"/>
    </row>
    <row r="49" customFormat="false" ht="15" hidden="false" customHeight="false" outlineLevel="0" collapsed="false">
      <c r="A49" s="5" t="str">
        <f aca="false">IFERROR(INDEX(Roster!$A$3:$A$148,MATCH(47,Roster!$E$3:$E$148,0)),"")</f>
        <v>S-095</v>
      </c>
      <c r="B49" s="5" t="n">
        <f aca="false">IFERROR(INDEX(Roster!$B$3:$B$148,MATCH(47,Roster!$E$3:$E$148,0)),"")</f>
        <v>5</v>
      </c>
      <c r="C49" s="5" t="str">
        <f aca="false">IF(A49="","",IF(ROW()-3&lt;$F$1,"Group A",IF(ROW()-3&lt;2*$F$1,"Group B","Group C")))</f>
        <v>Group B</v>
      </c>
      <c r="D49" s="4" t="s">
        <v>192</v>
      </c>
      <c r="E49" s="4" t="n">
        <v>459</v>
      </c>
      <c r="F49" s="4" t="s">
        <v>198</v>
      </c>
      <c r="G49" s="9" t="str">
        <f aca="false">IF(F49="","",IF(B49-IF(F49="Grade K",0,VALUE(SUBSTITUTE(F49,"Grade ","")))&lt;=0,"On/above grade",IF(B49-IF(F49="Grade K",0,VALUE(SUBSTITUTE(F49,"Grade ","")))=1,"1 grade below",IF(B49-IF(F49="Grade K",0,VALUE(SUBSTITUTE(F49,"Grade ","")))=2,"2 grades below","3+ grades below"))))</f>
        <v>3+ grades below</v>
      </c>
      <c r="H49" s="4" t="s">
        <v>192</v>
      </c>
      <c r="I49" s="4" t="n">
        <v>523</v>
      </c>
      <c r="J49" s="4" t="s">
        <v>202</v>
      </c>
      <c r="K49" s="9" t="str">
        <f aca="false">IF(J49="","",IF(B49-IF(J49="Grade K",0,VALUE(SUBSTITUTE(J49,"Grade ","")))&lt;=0,"On/above grade",IF(B49-IF(J49="Grade K",0,VALUE(SUBSTITUTE(J49,"Grade ","")))=1,"1 grade below",IF(B49-IF(J49="Grade K",0,VALUE(SUBSTITUTE(J49,"Grade ","")))=2,"2 grades below","3+ grades below"))))</f>
        <v>1 grade below</v>
      </c>
      <c r="L49" s="4" t="s">
        <v>195</v>
      </c>
      <c r="M49" s="4" t="s">
        <v>195</v>
      </c>
      <c r="N49" s="4" t="s">
        <v>199</v>
      </c>
      <c r="O49" s="2"/>
    </row>
    <row r="50" customFormat="false" ht="15" hidden="false" customHeight="false" outlineLevel="0" collapsed="false">
      <c r="A50" s="5" t="str">
        <f aca="false">IFERROR(INDEX(Roster!$A$3:$A$148,MATCH(48,Roster!$E$3:$E$148,0)),"")</f>
        <v>S-099</v>
      </c>
      <c r="B50" s="5" t="n">
        <f aca="false">IFERROR(INDEX(Roster!$B$3:$B$148,MATCH(48,Roster!$E$3:$E$148,0)),"")</f>
        <v>8</v>
      </c>
      <c r="C50" s="5" t="str">
        <f aca="false">IF(A50="","",IF(ROW()-3&lt;$F$1,"Group A",IF(ROW()-3&lt;2*$F$1,"Group B","Group C")))</f>
        <v>Group B</v>
      </c>
      <c r="D50" s="4" t="s">
        <v>192</v>
      </c>
      <c r="E50" s="4" t="n">
        <v>608</v>
      </c>
      <c r="F50" s="4" t="s">
        <v>194</v>
      </c>
      <c r="G50" s="9" t="str">
        <f aca="false">IF(F50="","",IF(B50-IF(F50="Grade K",0,VALUE(SUBSTITUTE(F50,"Grade ","")))&lt;=0,"On/above grade",IF(B50-IF(F50="Grade K",0,VALUE(SUBSTITUTE(F50,"Grade ","")))=1,"1 grade below",IF(B50-IF(F50="Grade K",0,VALUE(SUBSTITUTE(F50,"Grade ","")))=2,"2 grades below","3+ grades below"))))</f>
        <v>2 grades below</v>
      </c>
      <c r="H50" s="4" t="s">
        <v>199</v>
      </c>
      <c r="I50" s="2"/>
      <c r="J50" s="2"/>
      <c r="K50" s="9" t="str">
        <f aca="false">IF(J50="","",IF(B50-IF(J50="Grade K",0,VALUE(SUBSTITUTE(J50,"Grade ","")))&lt;=0,"On/above grade",IF(B50-IF(J50="Grade K",0,VALUE(SUBSTITUTE(J50,"Grade ","")))=1,"1 grade below",IF(B50-IF(J50="Grade K",0,VALUE(SUBSTITUTE(J50,"Grade ","")))=2,"2 grades below","3+ grades below"))))</f>
        <v/>
      </c>
      <c r="L50" s="4" t="s">
        <v>196</v>
      </c>
      <c r="M50" s="4" t="s">
        <v>196</v>
      </c>
      <c r="N50" s="4" t="s">
        <v>195</v>
      </c>
      <c r="O50" s="2"/>
    </row>
    <row r="51" customFormat="false" ht="15" hidden="false" customHeight="false" outlineLevel="0" collapsed="false">
      <c r="A51" s="5" t="str">
        <f aca="false">IFERROR(INDEX(Roster!$A$3:$A$148,MATCH(49,Roster!$E$3:$E$148,0)),"")</f>
        <v>S-101</v>
      </c>
      <c r="B51" s="5" t="n">
        <f aca="false">IFERROR(INDEX(Roster!$B$3:$B$148,MATCH(49,Roster!$E$3:$E$148,0)),"")</f>
        <v>8</v>
      </c>
      <c r="C51" s="5" t="str">
        <f aca="false">IF(A51="","",IF(ROW()-3&lt;$F$1,"Group A",IF(ROW()-3&lt;2*$F$1,"Group B","Group C")))</f>
        <v>Group C</v>
      </c>
      <c r="D51" s="4" t="s">
        <v>192</v>
      </c>
      <c r="E51" s="4" t="n">
        <v>673</v>
      </c>
      <c r="F51" s="4" t="s">
        <v>193</v>
      </c>
      <c r="G51" s="9" t="str">
        <f aca="false">IF(F51="","",IF(B51-IF(F51="Grade K",0,VALUE(SUBSTITUTE(F51,"Grade ","")))&lt;=0,"On/above grade",IF(B51-IF(F51="Grade K",0,VALUE(SUBSTITUTE(F51,"Grade ","")))=1,"1 grade below",IF(B51-IF(F51="Grade K",0,VALUE(SUBSTITUTE(F51,"Grade ","")))=2,"2 grades below","3+ grades below"))))</f>
        <v>On/above grade</v>
      </c>
      <c r="H51" s="4" t="s">
        <v>192</v>
      </c>
      <c r="I51" s="4" t="n">
        <v>624</v>
      </c>
      <c r="J51" s="4" t="s">
        <v>200</v>
      </c>
      <c r="K51" s="9" t="str">
        <f aca="false">IF(J51="","",IF(B51-IF(J51="Grade K",0,VALUE(SUBSTITUTE(J51,"Grade ","")))&lt;=0,"On/above grade",IF(B51-IF(J51="Grade K",0,VALUE(SUBSTITUTE(J51,"Grade ","")))=1,"1 grade below",IF(B51-IF(J51="Grade K",0,VALUE(SUBSTITUTE(J51,"Grade ","")))=2,"2 grades below","3+ grades below"))))</f>
        <v>1 grade below</v>
      </c>
      <c r="L51" s="4" t="s">
        <v>196</v>
      </c>
      <c r="M51" s="4" t="s">
        <v>199</v>
      </c>
      <c r="N51" s="4" t="s">
        <v>199</v>
      </c>
      <c r="O51" s="2"/>
    </row>
    <row r="52" customFormat="false" ht="15" hidden="false" customHeight="false" outlineLevel="0" collapsed="false">
      <c r="A52" s="5" t="str">
        <f aca="false">IFERROR(INDEX(Roster!$A$3:$A$148,MATCH(50,Roster!$E$3:$E$148,0)),"")</f>
        <v>S-102</v>
      </c>
      <c r="B52" s="5" t="n">
        <f aca="false">IFERROR(INDEX(Roster!$B$3:$B$148,MATCH(50,Roster!$E$3:$E$148,0)),"")</f>
        <v>8</v>
      </c>
      <c r="C52" s="5" t="str">
        <f aca="false">IF(A52="","",IF(ROW()-3&lt;$F$1,"Group A",IF(ROW()-3&lt;2*$F$1,"Group B","Group C")))</f>
        <v>Group C</v>
      </c>
      <c r="D52" s="4" t="s">
        <v>192</v>
      </c>
      <c r="E52" s="4" t="n">
        <v>609</v>
      </c>
      <c r="F52" s="4" t="s">
        <v>194</v>
      </c>
      <c r="G52" s="9" t="str">
        <f aca="false">IF(F52="","",IF(B52-IF(F52="Grade K",0,VALUE(SUBSTITUTE(F52,"Grade ","")))&lt;=0,"On/above grade",IF(B52-IF(F52="Grade K",0,VALUE(SUBSTITUTE(F52,"Grade ","")))=1,"1 grade below",IF(B52-IF(F52="Grade K",0,VALUE(SUBSTITUTE(F52,"Grade ","")))=2,"2 grades below","3+ grades below"))))</f>
        <v>2 grades below</v>
      </c>
      <c r="H52" s="4" t="s">
        <v>192</v>
      </c>
      <c r="I52" s="4" t="n">
        <v>675</v>
      </c>
      <c r="J52" s="4" t="s">
        <v>193</v>
      </c>
      <c r="K52" s="9" t="str">
        <f aca="false">IF(J52="","",IF(B52-IF(J52="Grade K",0,VALUE(SUBSTITUTE(J52,"Grade ","")))&lt;=0,"On/above grade",IF(B52-IF(J52="Grade K",0,VALUE(SUBSTITUTE(J52,"Grade ","")))=1,"1 grade below",IF(B52-IF(J52="Grade K",0,VALUE(SUBSTITUTE(J52,"Grade ","")))=2,"2 grades below","3+ grades below"))))</f>
        <v>On/above grade</v>
      </c>
      <c r="L52" s="4" t="s">
        <v>195</v>
      </c>
      <c r="M52" s="4" t="s">
        <v>196</v>
      </c>
      <c r="N52" s="4" t="s">
        <v>196</v>
      </c>
      <c r="O52" s="2"/>
    </row>
    <row r="53" customFormat="false" ht="15" hidden="false" customHeight="false" outlineLevel="0" collapsed="false">
      <c r="A53" s="5" t="str">
        <f aca="false">IFERROR(INDEX(Roster!$A$3:$A$148,MATCH(51,Roster!$E$3:$E$148,0)),"")</f>
        <v>S-106</v>
      </c>
      <c r="B53" s="5" t="n">
        <f aca="false">IFERROR(INDEX(Roster!$B$3:$B$148,MATCH(51,Roster!$E$3:$E$148,0)),"")</f>
        <v>5</v>
      </c>
      <c r="C53" s="5" t="str">
        <f aca="false">IF(A53="","",IF(ROW()-3&lt;$F$1,"Group A",IF(ROW()-3&lt;2*$F$1,"Group B","Group C")))</f>
        <v>Group C</v>
      </c>
      <c r="D53" s="4" t="s">
        <v>192</v>
      </c>
      <c r="E53" s="4" t="n">
        <v>539</v>
      </c>
      <c r="F53" s="4" t="s">
        <v>202</v>
      </c>
      <c r="G53" s="9" t="str">
        <f aca="false">IF(F53="","",IF(B53-IF(F53="Grade K",0,VALUE(SUBSTITUTE(F53,"Grade ","")))&lt;=0,"On/above grade",IF(B53-IF(F53="Grade K",0,VALUE(SUBSTITUTE(F53,"Grade ","")))=1,"1 grade below",IF(B53-IF(F53="Grade K",0,VALUE(SUBSTITUTE(F53,"Grade ","")))=2,"2 grades below","3+ grades below"))))</f>
        <v>1 grade below</v>
      </c>
      <c r="H53" s="4" t="s">
        <v>192</v>
      </c>
      <c r="I53" s="4" t="n">
        <v>572</v>
      </c>
      <c r="J53" s="4" t="s">
        <v>197</v>
      </c>
      <c r="K53" s="9" t="str">
        <f aca="false">IF(J53="","",IF(B53-IF(J53="Grade K",0,VALUE(SUBSTITUTE(J53,"Grade ","")))&lt;=0,"On/above grade",IF(B53-IF(J53="Grade K",0,VALUE(SUBSTITUTE(J53,"Grade ","")))=1,"1 grade below",IF(B53-IF(J53="Grade K",0,VALUE(SUBSTITUTE(J53,"Grade ","")))=2,"2 grades below","3+ grades below"))))</f>
        <v>On/above grade</v>
      </c>
      <c r="L53" s="4" t="s">
        <v>195</v>
      </c>
      <c r="M53" s="4" t="s">
        <v>196</v>
      </c>
      <c r="N53" s="4" t="s">
        <v>196</v>
      </c>
      <c r="O53" s="2"/>
    </row>
    <row r="54" customFormat="false" ht="15" hidden="false" customHeight="false" outlineLevel="0" collapsed="false">
      <c r="A54" s="5" t="str">
        <f aca="false">IFERROR(INDEX(Roster!$A$3:$A$148,MATCH(52,Roster!$E$3:$E$148,0)),"")</f>
        <v>S-110</v>
      </c>
      <c r="B54" s="5" t="n">
        <f aca="false">IFERROR(INDEX(Roster!$B$3:$B$148,MATCH(52,Roster!$E$3:$E$148,0)),"")</f>
        <v>8</v>
      </c>
      <c r="C54" s="5" t="str">
        <f aca="false">IF(A54="","",IF(ROW()-3&lt;$F$1,"Group A",IF(ROW()-3&lt;2*$F$1,"Group B","Group C")))</f>
        <v>Group C</v>
      </c>
      <c r="D54" s="4" t="s">
        <v>192</v>
      </c>
      <c r="E54" s="4" t="n">
        <v>572</v>
      </c>
      <c r="F54" s="4" t="s">
        <v>197</v>
      </c>
      <c r="G54" s="9" t="str">
        <f aca="false">IF(F54="","",IF(B54-IF(F54="Grade K",0,VALUE(SUBSTITUTE(F54,"Grade ","")))&lt;=0,"On/above grade",IF(B54-IF(F54="Grade K",0,VALUE(SUBSTITUTE(F54,"Grade ","")))=1,"1 grade below",IF(B54-IF(F54="Grade K",0,VALUE(SUBSTITUTE(F54,"Grade ","")))=2,"2 grades below","3+ grades below"))))</f>
        <v>3+ grades below</v>
      </c>
      <c r="H54" s="4" t="s">
        <v>199</v>
      </c>
      <c r="I54" s="2"/>
      <c r="J54" s="2"/>
      <c r="K54" s="9" t="str">
        <f aca="false">IF(J54="","",IF(B54-IF(J54="Grade K",0,VALUE(SUBSTITUTE(J54,"Grade ","")))&lt;=0,"On/above grade",IF(B54-IF(J54="Grade K",0,VALUE(SUBSTITUTE(J54,"Grade ","")))=1,"1 grade below",IF(B54-IF(J54="Grade K",0,VALUE(SUBSTITUTE(J54,"Grade ","")))=2,"2 grades below","3+ grades below"))))</f>
        <v/>
      </c>
      <c r="L54" s="4" t="s">
        <v>196</v>
      </c>
      <c r="M54" s="4" t="s">
        <v>195</v>
      </c>
      <c r="N54" s="4" t="s">
        <v>199</v>
      </c>
      <c r="O54" s="2"/>
    </row>
    <row r="55" customFormat="false" ht="15" hidden="false" customHeight="false" outlineLevel="0" collapsed="false">
      <c r="A55" s="5" t="str">
        <f aca="false">IFERROR(INDEX(Roster!$A$3:$A$148,MATCH(53,Roster!$E$3:$E$148,0)),"")</f>
        <v>S-111</v>
      </c>
      <c r="B55" s="5" t="n">
        <f aca="false">IFERROR(INDEX(Roster!$B$3:$B$148,MATCH(53,Roster!$E$3:$E$148,0)),"")</f>
        <v>5</v>
      </c>
      <c r="C55" s="5" t="str">
        <f aca="false">IF(A55="","",IF(ROW()-3&lt;$F$1,"Group A",IF(ROW()-3&lt;2*$F$1,"Group B","Group C")))</f>
        <v>Group C</v>
      </c>
      <c r="D55" s="4" t="s">
        <v>192</v>
      </c>
      <c r="E55" s="4" t="n">
        <v>503</v>
      </c>
      <c r="F55" s="4" t="s">
        <v>202</v>
      </c>
      <c r="G55" s="9" t="str">
        <f aca="false">IF(F55="","",IF(B55-IF(F55="Grade K",0,VALUE(SUBSTITUTE(F55,"Grade ","")))&lt;=0,"On/above grade",IF(B55-IF(F55="Grade K",0,VALUE(SUBSTITUTE(F55,"Grade ","")))=1,"1 grade below",IF(B55-IF(F55="Grade K",0,VALUE(SUBSTITUTE(F55,"Grade ","")))=2,"2 grades below","3+ grades below"))))</f>
        <v>1 grade below</v>
      </c>
      <c r="H55" s="4" t="s">
        <v>192</v>
      </c>
      <c r="I55" s="4" t="n">
        <v>511</v>
      </c>
      <c r="J55" s="4" t="s">
        <v>202</v>
      </c>
      <c r="K55" s="9" t="str">
        <f aca="false">IF(J55="","",IF(B55-IF(J55="Grade K",0,VALUE(SUBSTITUTE(J55,"Grade ","")))&lt;=0,"On/above grade",IF(B55-IF(J55="Grade K",0,VALUE(SUBSTITUTE(J55,"Grade ","")))=1,"1 grade below",IF(B55-IF(J55="Grade K",0,VALUE(SUBSTITUTE(J55,"Grade ","")))=2,"2 grades below","3+ grades below"))))</f>
        <v>1 grade below</v>
      </c>
      <c r="L55" s="4" t="s">
        <v>195</v>
      </c>
      <c r="M55" s="4" t="s">
        <v>195</v>
      </c>
      <c r="N55" s="4" t="s">
        <v>196</v>
      </c>
      <c r="O55" s="2"/>
    </row>
    <row r="56" customFormat="false" ht="15" hidden="false" customHeight="false" outlineLevel="0" collapsed="false">
      <c r="A56" s="5" t="str">
        <f aca="false">IFERROR(INDEX(Roster!$A$3:$A$148,MATCH(54,Roster!$E$3:$E$148,0)),"")</f>
        <v>S-115</v>
      </c>
      <c r="B56" s="5" t="n">
        <f aca="false">IFERROR(INDEX(Roster!$B$3:$B$148,MATCH(54,Roster!$E$3:$E$148,0)),"")</f>
        <v>8</v>
      </c>
      <c r="C56" s="5" t="str">
        <f aca="false">IF(A56="","",IF(ROW()-3&lt;$F$1,"Group A",IF(ROW()-3&lt;2*$F$1,"Group B","Group C")))</f>
        <v>Group C</v>
      </c>
      <c r="D56" s="4" t="s">
        <v>192</v>
      </c>
      <c r="E56" s="4" t="n">
        <v>589</v>
      </c>
      <c r="F56" s="4" t="s">
        <v>194</v>
      </c>
      <c r="G56" s="9" t="str">
        <f aca="false">IF(F56="","",IF(B56-IF(F56="Grade K",0,VALUE(SUBSTITUTE(F56,"Grade ","")))&lt;=0,"On/above grade",IF(B56-IF(F56="Grade K",0,VALUE(SUBSTITUTE(F56,"Grade ","")))=1,"1 grade below",IF(B56-IF(F56="Grade K",0,VALUE(SUBSTITUTE(F56,"Grade ","")))=2,"2 grades below","3+ grades below"))))</f>
        <v>2 grades below</v>
      </c>
      <c r="H56" s="4" t="s">
        <v>192</v>
      </c>
      <c r="I56" s="4" t="n">
        <v>645</v>
      </c>
      <c r="J56" s="4" t="s">
        <v>200</v>
      </c>
      <c r="K56" s="9" t="str">
        <f aca="false">IF(J56="","",IF(B56-IF(J56="Grade K",0,VALUE(SUBSTITUTE(J56,"Grade ","")))&lt;=0,"On/above grade",IF(B56-IF(J56="Grade K",0,VALUE(SUBSTITUTE(J56,"Grade ","")))=1,"1 grade below",IF(B56-IF(J56="Grade K",0,VALUE(SUBSTITUTE(J56,"Grade ","")))=2,"2 grades below","3+ grades below"))))</f>
        <v>1 grade below</v>
      </c>
      <c r="L56" s="4" t="s">
        <v>195</v>
      </c>
      <c r="M56" s="4" t="s">
        <v>195</v>
      </c>
      <c r="N56" s="4" t="s">
        <v>196</v>
      </c>
      <c r="O56" s="2"/>
    </row>
    <row r="57" customFormat="false" ht="15" hidden="false" customHeight="false" outlineLevel="0" collapsed="false">
      <c r="A57" s="5" t="str">
        <f aca="false">IFERROR(INDEX(Roster!$A$3:$A$148,MATCH(55,Roster!$E$3:$E$148,0)),"")</f>
        <v>S-117</v>
      </c>
      <c r="B57" s="5" t="n">
        <f aca="false">IFERROR(INDEX(Roster!$B$3:$B$148,MATCH(55,Roster!$E$3:$E$148,0)),"")</f>
        <v>8</v>
      </c>
      <c r="C57" s="5" t="str">
        <f aca="false">IF(A57="","",IF(ROW()-3&lt;$F$1,"Group A",IF(ROW()-3&lt;2*$F$1,"Group B","Group C")))</f>
        <v>Group C</v>
      </c>
      <c r="D57" s="4" t="s">
        <v>192</v>
      </c>
      <c r="E57" s="4" t="n">
        <v>657</v>
      </c>
      <c r="F57" s="4" t="s">
        <v>193</v>
      </c>
      <c r="G57" s="9" t="str">
        <f aca="false">IF(F57="","",IF(B57-IF(F57="Grade K",0,VALUE(SUBSTITUTE(F57,"Grade ","")))&lt;=0,"On/above grade",IF(B57-IF(F57="Grade K",0,VALUE(SUBSTITUTE(F57,"Grade ","")))=1,"1 grade below",IF(B57-IF(F57="Grade K",0,VALUE(SUBSTITUTE(F57,"Grade ","")))=2,"2 grades below","3+ grades below"))))</f>
        <v>On/above grade</v>
      </c>
      <c r="H57" s="4" t="s">
        <v>192</v>
      </c>
      <c r="I57" s="4" t="n">
        <v>641</v>
      </c>
      <c r="J57" s="4" t="s">
        <v>193</v>
      </c>
      <c r="K57" s="9" t="str">
        <f aca="false">IF(J57="","",IF(B57-IF(J57="Grade K",0,VALUE(SUBSTITUTE(J57,"Grade ","")))&lt;=0,"On/above grade",IF(B57-IF(J57="Grade K",0,VALUE(SUBSTITUTE(J57,"Grade ","")))=1,"1 grade below",IF(B57-IF(J57="Grade K",0,VALUE(SUBSTITUTE(J57,"Grade ","")))=2,"2 grades below","3+ grades below"))))</f>
        <v>On/above grade</v>
      </c>
      <c r="L57" s="4" t="s">
        <v>196</v>
      </c>
      <c r="M57" s="4" t="s">
        <v>195</v>
      </c>
      <c r="N57" s="4" t="s">
        <v>196</v>
      </c>
      <c r="O57" s="2"/>
    </row>
    <row r="58" customFormat="false" ht="15" hidden="false" customHeight="false" outlineLevel="0" collapsed="false">
      <c r="A58" s="5" t="str">
        <f aca="false">IFERROR(INDEX(Roster!$A$3:$A$148,MATCH(56,Roster!$E$3:$E$148,0)),"")</f>
        <v>S-119</v>
      </c>
      <c r="B58" s="5" t="n">
        <f aca="false">IFERROR(INDEX(Roster!$B$3:$B$148,MATCH(56,Roster!$E$3:$E$148,0)),"")</f>
        <v>8</v>
      </c>
      <c r="C58" s="5" t="str">
        <f aca="false">IF(A58="","",IF(ROW()-3&lt;$F$1,"Group A",IF(ROW()-3&lt;2*$F$1,"Group B","Group C")))</f>
        <v>Group C</v>
      </c>
      <c r="D58" s="4" t="s">
        <v>192</v>
      </c>
      <c r="E58" s="4" t="n">
        <v>583</v>
      </c>
      <c r="F58" s="4" t="s">
        <v>194</v>
      </c>
      <c r="G58" s="9" t="str">
        <f aca="false">IF(F58="","",IF(B58-IF(F58="Grade K",0,VALUE(SUBSTITUTE(F58,"Grade ","")))&lt;=0,"On/above grade",IF(B58-IF(F58="Grade K",0,VALUE(SUBSTITUTE(F58,"Grade ","")))=1,"1 grade below",IF(B58-IF(F58="Grade K",0,VALUE(SUBSTITUTE(F58,"Grade ","")))=2,"2 grades below","3+ grades below"))))</f>
        <v>2 grades below</v>
      </c>
      <c r="H58" s="4" t="s">
        <v>192</v>
      </c>
      <c r="I58" s="4" t="n">
        <v>614</v>
      </c>
      <c r="J58" s="4" t="s">
        <v>200</v>
      </c>
      <c r="K58" s="9" t="str">
        <f aca="false">IF(J58="","",IF(B58-IF(J58="Grade K",0,VALUE(SUBSTITUTE(J58,"Grade ","")))&lt;=0,"On/above grade",IF(B58-IF(J58="Grade K",0,VALUE(SUBSTITUTE(J58,"Grade ","")))=1,"1 grade below",IF(B58-IF(J58="Grade K",0,VALUE(SUBSTITUTE(J58,"Grade ","")))=2,"2 grades below","3+ grades below"))))</f>
        <v>1 grade below</v>
      </c>
      <c r="L58" s="4" t="s">
        <v>195</v>
      </c>
      <c r="M58" s="4" t="s">
        <v>195</v>
      </c>
      <c r="N58" s="4" t="s">
        <v>196</v>
      </c>
      <c r="O58" s="2"/>
    </row>
    <row r="59" customFormat="false" ht="15" hidden="false" customHeight="false" outlineLevel="0" collapsed="false">
      <c r="A59" s="5" t="str">
        <f aca="false">IFERROR(INDEX(Roster!$A$3:$A$148,MATCH(57,Roster!$E$3:$E$148,0)),"")</f>
        <v>S-120</v>
      </c>
      <c r="B59" s="5" t="n">
        <f aca="false">IFERROR(INDEX(Roster!$B$3:$B$148,MATCH(57,Roster!$E$3:$E$148,0)),"")</f>
        <v>8</v>
      </c>
      <c r="C59" s="5" t="str">
        <f aca="false">IF(A59="","",IF(ROW()-3&lt;$F$1,"Group A",IF(ROW()-3&lt;2*$F$1,"Group B","Group C")))</f>
        <v>Group C</v>
      </c>
      <c r="D59" s="4" t="s">
        <v>192</v>
      </c>
      <c r="E59" s="4" t="n">
        <v>542</v>
      </c>
      <c r="F59" s="4" t="s">
        <v>197</v>
      </c>
      <c r="G59" s="9" t="str">
        <f aca="false">IF(F59="","",IF(B59-IF(F59="Grade K",0,VALUE(SUBSTITUTE(F59,"Grade ","")))&lt;=0,"On/above grade",IF(B59-IF(F59="Grade K",0,VALUE(SUBSTITUTE(F59,"Grade ","")))=1,"1 grade below",IF(B59-IF(F59="Grade K",0,VALUE(SUBSTITUTE(F59,"Grade ","")))=2,"2 grades below","3+ grades below"))))</f>
        <v>3+ grades below</v>
      </c>
      <c r="H59" s="4" t="s">
        <v>192</v>
      </c>
      <c r="I59" s="4" t="n">
        <v>629</v>
      </c>
      <c r="J59" s="4" t="s">
        <v>200</v>
      </c>
      <c r="K59" s="9" t="str">
        <f aca="false">IF(J59="","",IF(B59-IF(J59="Grade K",0,VALUE(SUBSTITUTE(J59,"Grade ","")))&lt;=0,"On/above grade",IF(B59-IF(J59="Grade K",0,VALUE(SUBSTITUTE(J59,"Grade ","")))=1,"1 grade below",IF(B59-IF(J59="Grade K",0,VALUE(SUBSTITUTE(J59,"Grade ","")))=2,"2 grades below","3+ grades below"))))</f>
        <v>1 grade below</v>
      </c>
      <c r="L59" s="4" t="s">
        <v>196</v>
      </c>
      <c r="M59" s="4" t="s">
        <v>195</v>
      </c>
      <c r="N59" s="4" t="s">
        <v>196</v>
      </c>
      <c r="O59" s="2"/>
    </row>
    <row r="60" customFormat="false" ht="15" hidden="false" customHeight="false" outlineLevel="0" collapsed="false">
      <c r="A60" s="5" t="str">
        <f aca="false">IFERROR(INDEX(Roster!$A$3:$A$148,MATCH(58,Roster!$E$3:$E$148,0)),"")</f>
        <v>S-125</v>
      </c>
      <c r="B60" s="5" t="n">
        <f aca="false">IFERROR(INDEX(Roster!$B$3:$B$148,MATCH(58,Roster!$E$3:$E$148,0)),"")</f>
        <v>8</v>
      </c>
      <c r="C60" s="5" t="str">
        <f aca="false">IF(A60="","",IF(ROW()-3&lt;$F$1,"Group A",IF(ROW()-3&lt;2*$F$1,"Group B","Group C")))</f>
        <v>Group C</v>
      </c>
      <c r="D60" s="4" t="s">
        <v>192</v>
      </c>
      <c r="E60" s="4" t="n">
        <v>538</v>
      </c>
      <c r="F60" s="4" t="s">
        <v>197</v>
      </c>
      <c r="G60" s="9" t="str">
        <f aca="false">IF(F60="","",IF(B60-IF(F60="Grade K",0,VALUE(SUBSTITUTE(F60,"Grade ","")))&lt;=0,"On/above grade",IF(B60-IF(F60="Grade K",0,VALUE(SUBSTITUTE(F60,"Grade ","")))=1,"1 grade below",IF(B60-IF(F60="Grade K",0,VALUE(SUBSTITUTE(F60,"Grade ","")))=2,"2 grades below","3+ grades below"))))</f>
        <v>3+ grades below</v>
      </c>
      <c r="H60" s="4" t="s">
        <v>192</v>
      </c>
      <c r="I60" s="4" t="n">
        <v>601</v>
      </c>
      <c r="J60" s="4" t="s">
        <v>194</v>
      </c>
      <c r="K60" s="9" t="str">
        <f aca="false">IF(J60="","",IF(B60-IF(J60="Grade K",0,VALUE(SUBSTITUTE(J60,"Grade ","")))&lt;=0,"On/above grade",IF(B60-IF(J60="Grade K",0,VALUE(SUBSTITUTE(J60,"Grade ","")))=1,"1 grade below",IF(B60-IF(J60="Grade K",0,VALUE(SUBSTITUTE(J60,"Grade ","")))=2,"2 grades below","3+ grades below"))))</f>
        <v>2 grades below</v>
      </c>
      <c r="L60" s="4" t="s">
        <v>196</v>
      </c>
      <c r="M60" s="4" t="s">
        <v>196</v>
      </c>
      <c r="N60" s="4" t="s">
        <v>196</v>
      </c>
      <c r="O60" s="2"/>
    </row>
    <row r="61" customFormat="false" ht="15" hidden="false" customHeight="false" outlineLevel="0" collapsed="false">
      <c r="A61" s="5" t="str">
        <f aca="false">IFERROR(INDEX(Roster!$A$3:$A$148,MATCH(59,Roster!$E$3:$E$148,0)),"")</f>
        <v>S-127</v>
      </c>
      <c r="B61" s="5" t="n">
        <f aca="false">IFERROR(INDEX(Roster!$B$3:$B$148,MATCH(59,Roster!$E$3:$E$148,0)),"")</f>
        <v>5</v>
      </c>
      <c r="C61" s="5" t="str">
        <f aca="false">IF(A61="","",IF(ROW()-3&lt;$F$1,"Group A",IF(ROW()-3&lt;2*$F$1,"Group B","Group C")))</f>
        <v>Group C</v>
      </c>
      <c r="D61" s="4" t="s">
        <v>192</v>
      </c>
      <c r="E61" s="4" t="n">
        <v>527</v>
      </c>
      <c r="F61" s="4" t="s">
        <v>202</v>
      </c>
      <c r="G61" s="9" t="str">
        <f aca="false">IF(F61="","",IF(B61-IF(F61="Grade K",0,VALUE(SUBSTITUTE(F61,"Grade ","")))&lt;=0,"On/above grade",IF(B61-IF(F61="Grade K",0,VALUE(SUBSTITUTE(F61,"Grade ","")))=1,"1 grade below",IF(B61-IF(F61="Grade K",0,VALUE(SUBSTITUTE(F61,"Grade ","")))=2,"2 grades below","3+ grades below"))))</f>
        <v>1 grade below</v>
      </c>
      <c r="H61" s="4" t="s">
        <v>192</v>
      </c>
      <c r="I61" s="4" t="n">
        <v>498</v>
      </c>
      <c r="J61" s="4" t="s">
        <v>201</v>
      </c>
      <c r="K61" s="9" t="str">
        <f aca="false">IF(J61="","",IF(B61-IF(J61="Grade K",0,VALUE(SUBSTITUTE(J61,"Grade ","")))&lt;=0,"On/above grade",IF(B61-IF(J61="Grade K",0,VALUE(SUBSTITUTE(J61,"Grade ","")))=1,"1 grade below",IF(B61-IF(J61="Grade K",0,VALUE(SUBSTITUTE(J61,"Grade ","")))=2,"2 grades below","3+ grades below"))))</f>
        <v>2 grades below</v>
      </c>
      <c r="L61" s="4" t="s">
        <v>195</v>
      </c>
      <c r="M61" s="4" t="s">
        <v>196</v>
      </c>
      <c r="N61" s="4" t="s">
        <v>195</v>
      </c>
      <c r="O61" s="2"/>
    </row>
    <row r="62" customFormat="false" ht="15" hidden="false" customHeight="false" outlineLevel="0" collapsed="false">
      <c r="A62" s="5" t="str">
        <f aca="false">IFERROR(INDEX(Roster!$A$3:$A$148,MATCH(60,Roster!$E$3:$E$148,0)),"")</f>
        <v>S-129</v>
      </c>
      <c r="B62" s="5" t="n">
        <f aca="false">IFERROR(INDEX(Roster!$B$3:$B$148,MATCH(60,Roster!$E$3:$E$148,0)),"")</f>
        <v>8</v>
      </c>
      <c r="C62" s="5" t="str">
        <f aca="false">IF(A62="","",IF(ROW()-3&lt;$F$1,"Group A",IF(ROW()-3&lt;2*$F$1,"Group B","Group C")))</f>
        <v>Group C</v>
      </c>
      <c r="D62" s="4" t="s">
        <v>192</v>
      </c>
      <c r="E62" s="4" t="n">
        <v>653</v>
      </c>
      <c r="F62" s="4" t="s">
        <v>193</v>
      </c>
      <c r="G62" s="9" t="str">
        <f aca="false">IF(F62="","",IF(B62-IF(F62="Grade K",0,VALUE(SUBSTITUTE(F62,"Grade ","")))&lt;=0,"On/above grade",IF(B62-IF(F62="Grade K",0,VALUE(SUBSTITUTE(F62,"Grade ","")))=1,"1 grade below",IF(B62-IF(F62="Grade K",0,VALUE(SUBSTITUTE(F62,"Grade ","")))=2,"2 grades below","3+ grades below"))))</f>
        <v>On/above grade</v>
      </c>
      <c r="H62" s="4" t="s">
        <v>192</v>
      </c>
      <c r="I62" s="4" t="n">
        <v>633</v>
      </c>
      <c r="J62" s="4" t="s">
        <v>200</v>
      </c>
      <c r="K62" s="9" t="str">
        <f aca="false">IF(J62="","",IF(B62-IF(J62="Grade K",0,VALUE(SUBSTITUTE(J62,"Grade ","")))&lt;=0,"On/above grade",IF(B62-IF(J62="Grade K",0,VALUE(SUBSTITUTE(J62,"Grade ","")))=1,"1 grade below",IF(B62-IF(J62="Grade K",0,VALUE(SUBSTITUTE(J62,"Grade ","")))=2,"2 grades below","3+ grades below"))))</f>
        <v>1 grade below</v>
      </c>
      <c r="L62" s="4" t="s">
        <v>196</v>
      </c>
      <c r="M62" s="4" t="s">
        <v>196</v>
      </c>
      <c r="N62" s="4" t="s">
        <v>195</v>
      </c>
      <c r="O62" s="2"/>
    </row>
    <row r="63" customFormat="false" ht="15" hidden="false" customHeight="false" outlineLevel="0" collapsed="false">
      <c r="A63" s="5" t="str">
        <f aca="false">IFERROR(INDEX(Roster!$A$3:$A$148,MATCH(61,Roster!$E$3:$E$148,0)),"")</f>
        <v>S-130</v>
      </c>
      <c r="B63" s="5" t="n">
        <f aca="false">IFERROR(INDEX(Roster!$B$3:$B$148,MATCH(61,Roster!$E$3:$E$148,0)),"")</f>
        <v>8</v>
      </c>
      <c r="C63" s="5" t="str">
        <f aca="false">IF(A63="","",IF(ROW()-3&lt;$F$1,"Group A",IF(ROW()-3&lt;2*$F$1,"Group B","Group C")))</f>
        <v>Group C</v>
      </c>
      <c r="D63" s="4" t="s">
        <v>192</v>
      </c>
      <c r="E63" s="4" t="n">
        <v>662</v>
      </c>
      <c r="F63" s="4" t="s">
        <v>193</v>
      </c>
      <c r="G63" s="9" t="str">
        <f aca="false">IF(F63="","",IF(B63-IF(F63="Grade K",0,VALUE(SUBSTITUTE(F63,"Grade ","")))&lt;=0,"On/above grade",IF(B63-IF(F63="Grade K",0,VALUE(SUBSTITUTE(F63,"Grade ","")))=1,"1 grade below",IF(B63-IF(F63="Grade K",0,VALUE(SUBSTITUTE(F63,"Grade ","")))=2,"2 grades below","3+ grades below"))))</f>
        <v>On/above grade</v>
      </c>
      <c r="H63" s="4" t="s">
        <v>192</v>
      </c>
      <c r="I63" s="4" t="n">
        <v>641</v>
      </c>
      <c r="J63" s="4" t="s">
        <v>193</v>
      </c>
      <c r="K63" s="9" t="str">
        <f aca="false">IF(J63="","",IF(B63-IF(J63="Grade K",0,VALUE(SUBSTITUTE(J63,"Grade ","")))&lt;=0,"On/above grade",IF(B63-IF(J63="Grade K",0,VALUE(SUBSTITUTE(J63,"Grade ","")))=1,"1 grade below",IF(B63-IF(J63="Grade K",0,VALUE(SUBSTITUTE(J63,"Grade ","")))=2,"2 grades below","3+ grades below"))))</f>
        <v>On/above grade</v>
      </c>
      <c r="L63" s="4" t="s">
        <v>195</v>
      </c>
      <c r="M63" s="4" t="s">
        <v>196</v>
      </c>
      <c r="N63" s="4" t="s">
        <v>196</v>
      </c>
      <c r="O63" s="2"/>
    </row>
    <row r="64" customFormat="false" ht="15" hidden="false" customHeight="false" outlineLevel="0" collapsed="false">
      <c r="A64" s="5" t="str">
        <f aca="false">IFERROR(INDEX(Roster!$A$3:$A$148,MATCH(62,Roster!$E$3:$E$148,0)),"")</f>
        <v>S-134</v>
      </c>
      <c r="B64" s="5" t="n">
        <f aca="false">IFERROR(INDEX(Roster!$B$3:$B$148,MATCH(62,Roster!$E$3:$E$148,0)),"")</f>
        <v>5</v>
      </c>
      <c r="C64" s="5" t="str">
        <f aca="false">IF(A64="","",IF(ROW()-3&lt;$F$1,"Group A",IF(ROW()-3&lt;2*$F$1,"Group B","Group C")))</f>
        <v>Group C</v>
      </c>
      <c r="D64" s="4" t="s">
        <v>192</v>
      </c>
      <c r="E64" s="4" t="n">
        <v>469</v>
      </c>
      <c r="F64" s="4" t="s">
        <v>201</v>
      </c>
      <c r="G64" s="9" t="str">
        <f aca="false">IF(F64="","",IF(B64-IF(F64="Grade K",0,VALUE(SUBSTITUTE(F64,"Grade ","")))&lt;=0,"On/above grade",IF(B64-IF(F64="Grade K",0,VALUE(SUBSTITUTE(F64,"Grade ","")))=1,"1 grade below",IF(B64-IF(F64="Grade K",0,VALUE(SUBSTITUTE(F64,"Grade ","")))=2,"2 grades below","3+ grades below"))))</f>
        <v>2 grades below</v>
      </c>
      <c r="H64" s="4" t="s">
        <v>199</v>
      </c>
      <c r="I64" s="2"/>
      <c r="J64" s="2"/>
      <c r="K64" s="9" t="str">
        <f aca="false">IF(J64="","",IF(B64-IF(J64="Grade K",0,VALUE(SUBSTITUTE(J64,"Grade ","")))&lt;=0,"On/above grade",IF(B64-IF(J64="Grade K",0,VALUE(SUBSTITUTE(J64,"Grade ","")))=1,"1 grade below",IF(B64-IF(J64="Grade K",0,VALUE(SUBSTITUTE(J64,"Grade ","")))=2,"2 grades below","3+ grades below"))))</f>
        <v/>
      </c>
      <c r="L64" s="4" t="s">
        <v>196</v>
      </c>
      <c r="M64" s="4" t="s">
        <v>195</v>
      </c>
      <c r="N64" s="4" t="s">
        <v>195</v>
      </c>
      <c r="O64" s="2"/>
    </row>
    <row r="65" customFormat="false" ht="15" hidden="false" customHeight="false" outlineLevel="0" collapsed="false">
      <c r="A65" s="5" t="str">
        <f aca="false">IFERROR(INDEX(Roster!$A$3:$A$148,MATCH(63,Roster!$E$3:$E$148,0)),"")</f>
        <v>S-135</v>
      </c>
      <c r="B65" s="5" t="n">
        <f aca="false">IFERROR(INDEX(Roster!$B$3:$B$148,MATCH(63,Roster!$E$3:$E$148,0)),"")</f>
        <v>5</v>
      </c>
      <c r="C65" s="5" t="str">
        <f aca="false">IF(A65="","",IF(ROW()-3&lt;$F$1,"Group A",IF(ROW()-3&lt;2*$F$1,"Group B","Group C")))</f>
        <v>Group C</v>
      </c>
      <c r="D65" s="4" t="s">
        <v>199</v>
      </c>
      <c r="E65" s="2"/>
      <c r="F65" s="2"/>
      <c r="G65" s="9" t="str">
        <f aca="false">IF(F65="","",IF(B65-IF(F65="Grade K",0,VALUE(SUBSTITUTE(F65,"Grade ","")))&lt;=0,"On/above grade",IF(B65-IF(F65="Grade K",0,VALUE(SUBSTITUTE(F65,"Grade ","")))=1,"1 grade below",IF(B65-IF(F65="Grade K",0,VALUE(SUBSTITUTE(F65,"Grade ","")))=2,"2 grades below","3+ grades below"))))</f>
        <v/>
      </c>
      <c r="H65" s="4" t="s">
        <v>204</v>
      </c>
      <c r="I65" s="2"/>
      <c r="J65" s="2"/>
      <c r="K65" s="9" t="str">
        <f aca="false">IF(J65="","",IF(B65-IF(J65="Grade K",0,VALUE(SUBSTITUTE(J65,"Grade ","")))&lt;=0,"On/above grade",IF(B65-IF(J65="Grade K",0,VALUE(SUBSTITUTE(J65,"Grade ","")))=1,"1 grade below",IF(B65-IF(J65="Grade K",0,VALUE(SUBSTITUTE(J65,"Grade ","")))=2,"2 grades below","3+ grades below"))))</f>
        <v/>
      </c>
      <c r="L65" s="4" t="s">
        <v>196</v>
      </c>
      <c r="M65" s="4" t="s">
        <v>195</v>
      </c>
      <c r="N65" s="4" t="s">
        <v>196</v>
      </c>
      <c r="O65" s="2"/>
    </row>
    <row r="66" customFormat="false" ht="15" hidden="false" customHeight="false" outlineLevel="0" collapsed="false">
      <c r="A66" s="5" t="str">
        <f aca="false">IFERROR(INDEX(Roster!$A$3:$A$148,MATCH(64,Roster!$E$3:$E$148,0)),"")</f>
        <v>S-137</v>
      </c>
      <c r="B66" s="5" t="n">
        <f aca="false">IFERROR(INDEX(Roster!$B$3:$B$148,MATCH(64,Roster!$E$3:$E$148,0)),"")</f>
        <v>8</v>
      </c>
      <c r="C66" s="5" t="str">
        <f aca="false">IF(A66="","",IF(ROW()-3&lt;$F$1,"Group A",IF(ROW()-3&lt;2*$F$1,"Group B","Group C")))</f>
        <v>Group C</v>
      </c>
      <c r="D66" s="4" t="s">
        <v>192</v>
      </c>
      <c r="E66" s="4" t="n">
        <v>608</v>
      </c>
      <c r="F66" s="4" t="s">
        <v>200</v>
      </c>
      <c r="G66" s="9" t="str">
        <f aca="false">IF(F66="","",IF(B66-IF(F66="Grade K",0,VALUE(SUBSTITUTE(F66,"Grade ","")))&lt;=0,"On/above grade",IF(B66-IF(F66="Grade K",0,VALUE(SUBSTITUTE(F66,"Grade ","")))=1,"1 grade below",IF(B66-IF(F66="Grade K",0,VALUE(SUBSTITUTE(F66,"Grade ","")))=2,"2 grades below","3+ grades below"))))</f>
        <v>1 grade below</v>
      </c>
      <c r="H66" s="4" t="s">
        <v>192</v>
      </c>
      <c r="I66" s="4" t="n">
        <v>518</v>
      </c>
      <c r="J66" s="4" t="s">
        <v>202</v>
      </c>
      <c r="K66" s="9" t="str">
        <f aca="false">IF(J66="","",IF(B66-IF(J66="Grade K",0,VALUE(SUBSTITUTE(J66,"Grade ","")))&lt;=0,"On/above grade",IF(B66-IF(J66="Grade K",0,VALUE(SUBSTITUTE(J66,"Grade ","")))=1,"1 grade below",IF(B66-IF(J66="Grade K",0,VALUE(SUBSTITUTE(J66,"Grade ","")))=2,"2 grades below","3+ grades below"))))</f>
        <v>3+ grades below</v>
      </c>
      <c r="L66" s="4" t="s">
        <v>196</v>
      </c>
      <c r="M66" s="4" t="s">
        <v>196</v>
      </c>
      <c r="N66" s="4" t="s">
        <v>196</v>
      </c>
      <c r="O66" s="2"/>
    </row>
    <row r="67" customFormat="false" ht="15" hidden="false" customHeight="false" outlineLevel="0" collapsed="false">
      <c r="A67" s="5" t="str">
        <f aca="false">IFERROR(INDEX(Roster!$A$3:$A$148,MATCH(65,Roster!$E$3:$E$148,0)),"")</f>
        <v>S-138</v>
      </c>
      <c r="B67" s="5" t="n">
        <f aca="false">IFERROR(INDEX(Roster!$B$3:$B$148,MATCH(65,Roster!$E$3:$E$148,0)),"")</f>
        <v>5</v>
      </c>
      <c r="C67" s="5" t="str">
        <f aca="false">IF(A67="","",IF(ROW()-3&lt;$F$1,"Group A",IF(ROW()-3&lt;2*$F$1,"Group B","Group C")))</f>
        <v>Group C</v>
      </c>
      <c r="D67" s="4" t="s">
        <v>192</v>
      </c>
      <c r="E67" s="4" t="n">
        <v>510</v>
      </c>
      <c r="F67" s="4" t="s">
        <v>202</v>
      </c>
      <c r="G67" s="9" t="str">
        <f aca="false">IF(F67="","",IF(B67-IF(F67="Grade K",0,VALUE(SUBSTITUTE(F67,"Grade ","")))&lt;=0,"On/above grade",IF(B67-IF(F67="Grade K",0,VALUE(SUBSTITUTE(F67,"Grade ","")))=1,"1 grade below",IF(B67-IF(F67="Grade K",0,VALUE(SUBSTITUTE(F67,"Grade ","")))=2,"2 grades below","3+ grades below"))))</f>
        <v>1 grade below</v>
      </c>
      <c r="H67" s="4" t="s">
        <v>192</v>
      </c>
      <c r="I67" s="4" t="n">
        <v>498</v>
      </c>
      <c r="J67" s="4" t="s">
        <v>201</v>
      </c>
      <c r="K67" s="9" t="str">
        <f aca="false">IF(J67="","",IF(B67-IF(J67="Grade K",0,VALUE(SUBSTITUTE(J67,"Grade ","")))&lt;=0,"On/above grade",IF(B67-IF(J67="Grade K",0,VALUE(SUBSTITUTE(J67,"Grade ","")))=1,"1 grade below",IF(B67-IF(J67="Grade K",0,VALUE(SUBSTITUTE(J67,"Grade ","")))=2,"2 grades below","3+ grades below"))))</f>
        <v>2 grades below</v>
      </c>
      <c r="L67" s="4" t="s">
        <v>196</v>
      </c>
      <c r="M67" s="4" t="s">
        <v>196</v>
      </c>
      <c r="N67" s="4" t="s">
        <v>196</v>
      </c>
      <c r="O67" s="2"/>
    </row>
    <row r="68" customFormat="false" ht="15" hidden="false" customHeight="false" outlineLevel="0" collapsed="false">
      <c r="A68" s="5" t="str">
        <f aca="false">IFERROR(INDEX(Roster!$A$3:$A$148,MATCH(66,Roster!$E$3:$E$148,0)),"")</f>
        <v>S-139</v>
      </c>
      <c r="B68" s="5" t="n">
        <f aca="false">IFERROR(INDEX(Roster!$B$3:$B$148,MATCH(66,Roster!$E$3:$E$148,0)),"")</f>
        <v>8</v>
      </c>
      <c r="C68" s="5" t="str">
        <f aca="false">IF(A68="","",IF(ROW()-3&lt;$F$1,"Group A",IF(ROW()-3&lt;2*$F$1,"Group B","Group C")))</f>
        <v>Group C</v>
      </c>
      <c r="D68" s="4" t="s">
        <v>192</v>
      </c>
      <c r="E68" s="4" t="n">
        <v>605</v>
      </c>
      <c r="F68" s="4" t="s">
        <v>194</v>
      </c>
      <c r="G68" s="9" t="str">
        <f aca="false">IF(F68="","",IF(B68-IF(F68="Grade K",0,VALUE(SUBSTITUTE(F68,"Grade ","")))&lt;=0,"On/above grade",IF(B68-IF(F68="Grade K",0,VALUE(SUBSTITUTE(F68,"Grade ","")))=1,"1 grade below",IF(B68-IF(F68="Grade K",0,VALUE(SUBSTITUTE(F68,"Grade ","")))=2,"2 grades below","3+ grades below"))))</f>
        <v>2 grades below</v>
      </c>
      <c r="H68" s="4" t="s">
        <v>192</v>
      </c>
      <c r="I68" s="4" t="n">
        <v>560</v>
      </c>
      <c r="J68" s="4" t="s">
        <v>197</v>
      </c>
      <c r="K68" s="9" t="str">
        <f aca="false">IF(J68="","",IF(B68-IF(J68="Grade K",0,VALUE(SUBSTITUTE(J68,"Grade ","")))&lt;=0,"On/above grade",IF(B68-IF(J68="Grade K",0,VALUE(SUBSTITUTE(J68,"Grade ","")))=1,"1 grade below",IF(B68-IF(J68="Grade K",0,VALUE(SUBSTITUTE(J68,"Grade ","")))=2,"2 grades below","3+ grades below"))))</f>
        <v>3+ grades below</v>
      </c>
      <c r="L68" s="4" t="s">
        <v>196</v>
      </c>
      <c r="M68" s="4" t="s">
        <v>199</v>
      </c>
      <c r="N68" s="4" t="s">
        <v>199</v>
      </c>
      <c r="O68" s="2"/>
    </row>
    <row r="69" customFormat="false" ht="15" hidden="false" customHeight="false" outlineLevel="0" collapsed="false">
      <c r="A69" s="5" t="str">
        <f aca="false">IFERROR(INDEX(Roster!$A$3:$A$148,MATCH(67,Roster!$E$3:$E$148,0)),"")</f>
        <v>S-142</v>
      </c>
      <c r="B69" s="5" t="n">
        <f aca="false">IFERROR(INDEX(Roster!$B$3:$B$148,MATCH(67,Roster!$E$3:$E$148,0)),"")</f>
        <v>8</v>
      </c>
      <c r="C69" s="5" t="str">
        <f aca="false">IF(A69="","",IF(ROW()-3&lt;$F$1,"Group A",IF(ROW()-3&lt;2*$F$1,"Group B","Group C")))</f>
        <v>Group C</v>
      </c>
      <c r="D69" s="4" t="s">
        <v>192</v>
      </c>
      <c r="E69" s="4" t="n">
        <v>642</v>
      </c>
      <c r="F69" s="4" t="s">
        <v>200</v>
      </c>
      <c r="G69" s="9" t="str">
        <f aca="false">IF(F69="","",IF(B69-IF(F69="Grade K",0,VALUE(SUBSTITUTE(F69,"Grade ","")))&lt;=0,"On/above grade",IF(B69-IF(F69="Grade K",0,VALUE(SUBSTITUTE(F69,"Grade ","")))=1,"1 grade below",IF(B69-IF(F69="Grade K",0,VALUE(SUBSTITUTE(F69,"Grade ","")))=2,"2 grades below","3+ grades below"))))</f>
        <v>1 grade below</v>
      </c>
      <c r="H69" s="4" t="s">
        <v>192</v>
      </c>
      <c r="I69" s="4" t="n">
        <v>586</v>
      </c>
      <c r="J69" s="4" t="s">
        <v>194</v>
      </c>
      <c r="K69" s="9" t="str">
        <f aca="false">IF(J69="","",IF(B69-IF(J69="Grade K",0,VALUE(SUBSTITUTE(J69,"Grade ","")))&lt;=0,"On/above grade",IF(B69-IF(J69="Grade K",0,VALUE(SUBSTITUTE(J69,"Grade ","")))=1,"1 grade below",IF(B69-IF(J69="Grade K",0,VALUE(SUBSTITUTE(J69,"Grade ","")))=2,"2 grades below","3+ grades below"))))</f>
        <v>2 grades below</v>
      </c>
      <c r="L69" s="4" t="s">
        <v>196</v>
      </c>
      <c r="M69" s="4" t="s">
        <v>196</v>
      </c>
      <c r="N69" s="4" t="s">
        <v>196</v>
      </c>
      <c r="O69" s="2"/>
    </row>
    <row r="70" customFormat="false" ht="15" hidden="false" customHeight="false" outlineLevel="0" collapsed="false">
      <c r="A70" s="5" t="str">
        <f aca="false">IFERROR(INDEX(Roster!$A$3:$A$148,MATCH(68,Roster!$E$3:$E$148,0)),"")</f>
        <v>S-143</v>
      </c>
      <c r="B70" s="5" t="n">
        <f aca="false">IFERROR(INDEX(Roster!$B$3:$B$148,MATCH(68,Roster!$E$3:$E$148,0)),"")</f>
        <v>8</v>
      </c>
      <c r="C70" s="5" t="str">
        <f aca="false">IF(A70="","",IF(ROW()-3&lt;$F$1,"Group A",IF(ROW()-3&lt;2*$F$1,"Group B","Group C")))</f>
        <v>Group C</v>
      </c>
      <c r="D70" s="4" t="s">
        <v>192</v>
      </c>
      <c r="E70" s="4" t="n">
        <v>651</v>
      </c>
      <c r="F70" s="4" t="s">
        <v>193</v>
      </c>
      <c r="G70" s="9" t="str">
        <f aca="false">IF(F70="","",IF(B70-IF(F70="Grade K",0,VALUE(SUBSTITUTE(F70,"Grade ","")))&lt;=0,"On/above grade",IF(B70-IF(F70="Grade K",0,VALUE(SUBSTITUTE(F70,"Grade ","")))=1,"1 grade below",IF(B70-IF(F70="Grade K",0,VALUE(SUBSTITUTE(F70,"Grade ","")))=2,"2 grades below","3+ grades below"))))</f>
        <v>On/above grade</v>
      </c>
      <c r="H70" s="4" t="s">
        <v>192</v>
      </c>
      <c r="I70" s="4" t="n">
        <v>626</v>
      </c>
      <c r="J70" s="4" t="s">
        <v>200</v>
      </c>
      <c r="K70" s="9" t="str">
        <f aca="false">IF(J70="","",IF(B70-IF(J70="Grade K",0,VALUE(SUBSTITUTE(J70,"Grade ","")))&lt;=0,"On/above grade",IF(B70-IF(J70="Grade K",0,VALUE(SUBSTITUTE(J70,"Grade ","")))=1,"1 grade below",IF(B70-IF(J70="Grade K",0,VALUE(SUBSTITUTE(J70,"Grade ","")))=2,"2 grades below","3+ grades below"))))</f>
        <v>1 grade below</v>
      </c>
      <c r="L70" s="4" t="s">
        <v>199</v>
      </c>
      <c r="M70" s="4" t="s">
        <v>196</v>
      </c>
      <c r="N70" s="4" t="s">
        <v>196</v>
      </c>
      <c r="O70" s="2"/>
    </row>
    <row r="71" customFormat="false" ht="15" hidden="false" customHeight="false" outlineLevel="0" collapsed="false">
      <c r="A71" s="5" t="str">
        <f aca="false">IFERROR(INDEX(Roster!$A$3:$A$148,MATCH(69,Roster!$E$3:$E$148,0)),"")</f>
        <v>S-144</v>
      </c>
      <c r="B71" s="5" t="n">
        <f aca="false">IFERROR(INDEX(Roster!$B$3:$B$148,MATCH(69,Roster!$E$3:$E$148,0)),"")</f>
        <v>5</v>
      </c>
      <c r="C71" s="5" t="str">
        <f aca="false">IF(A71="","",IF(ROW()-3&lt;$F$1,"Group A",IF(ROW()-3&lt;2*$F$1,"Group B","Group C")))</f>
        <v>Group C</v>
      </c>
      <c r="D71" s="4" t="s">
        <v>199</v>
      </c>
      <c r="E71" s="2"/>
      <c r="F71" s="2"/>
      <c r="G71" s="9" t="str">
        <f aca="false">IF(F71="","",IF(B71-IF(F71="Grade K",0,VALUE(SUBSTITUTE(F71,"Grade ","")))&lt;=0,"On/above grade",IF(B71-IF(F71="Grade K",0,VALUE(SUBSTITUTE(F71,"Grade ","")))=1,"1 grade below",IF(B71-IF(F71="Grade K",0,VALUE(SUBSTITUTE(F71,"Grade ","")))=2,"2 grades below","3+ grades below"))))</f>
        <v/>
      </c>
      <c r="H71" s="4" t="s">
        <v>192</v>
      </c>
      <c r="I71" s="4" t="n">
        <v>504</v>
      </c>
      <c r="J71" s="4" t="s">
        <v>201</v>
      </c>
      <c r="K71" s="9" t="str">
        <f aca="false">IF(J71="","",IF(B71-IF(J71="Grade K",0,VALUE(SUBSTITUTE(J71,"Grade ","")))&lt;=0,"On/above grade",IF(B71-IF(J71="Grade K",0,VALUE(SUBSTITUTE(J71,"Grade ","")))=1,"1 grade below",IF(B71-IF(J71="Grade K",0,VALUE(SUBSTITUTE(J71,"Grade ","")))=2,"2 grades below","3+ grades below"))))</f>
        <v>2 grades below</v>
      </c>
      <c r="L71" s="4" t="s">
        <v>196</v>
      </c>
      <c r="M71" s="4" t="s">
        <v>195</v>
      </c>
      <c r="N71" s="4" t="s">
        <v>196</v>
      </c>
      <c r="O71" s="2"/>
    </row>
    <row r="72" customFormat="false" ht="15" hidden="false" customHeight="false" outlineLevel="0" collapsed="false">
      <c r="A72" s="5" t="str">
        <f aca="false">IFERROR(INDEX(Roster!$A$3:$A$148,MATCH(70,Roster!$E$3:$E$148,0)),"")</f>
        <v>S-145</v>
      </c>
      <c r="B72" s="5" t="n">
        <f aca="false">IFERROR(INDEX(Roster!$B$3:$B$148,MATCH(70,Roster!$E$3:$E$148,0)),"")</f>
        <v>5</v>
      </c>
      <c r="C72" s="5" t="str">
        <f aca="false">IF(A72="","",IF(ROW()-3&lt;$F$1,"Group A",IF(ROW()-3&lt;2*$F$1,"Group B","Group C")))</f>
        <v>Group C</v>
      </c>
      <c r="D72" s="4" t="s">
        <v>192</v>
      </c>
      <c r="E72" s="4" t="n">
        <v>528</v>
      </c>
      <c r="F72" s="4" t="s">
        <v>202</v>
      </c>
      <c r="G72" s="9" t="str">
        <f aca="false">IF(F72="","",IF(B72-IF(F72="Grade K",0,VALUE(SUBSTITUTE(F72,"Grade ","")))&lt;=0,"On/above grade",IF(B72-IF(F72="Grade K",0,VALUE(SUBSTITUTE(F72,"Grade ","")))=1,"1 grade below",IF(B72-IF(F72="Grade K",0,VALUE(SUBSTITUTE(F72,"Grade ","")))=2,"2 grades below","3+ grades below"))))</f>
        <v>1 grade below</v>
      </c>
      <c r="H72" s="4" t="s">
        <v>192</v>
      </c>
      <c r="I72" s="4" t="n">
        <v>432</v>
      </c>
      <c r="J72" s="4" t="s">
        <v>198</v>
      </c>
      <c r="K72" s="9" t="str">
        <f aca="false">IF(J72="","",IF(B72-IF(J72="Grade K",0,VALUE(SUBSTITUTE(J72,"Grade ","")))&lt;=0,"On/above grade",IF(B72-IF(J72="Grade K",0,VALUE(SUBSTITUTE(J72,"Grade ","")))=1,"1 grade below",IF(B72-IF(J72="Grade K",0,VALUE(SUBSTITUTE(J72,"Grade ","")))=2,"2 grades below","3+ grades below"))))</f>
        <v>3+ grades below</v>
      </c>
      <c r="L72" s="4" t="s">
        <v>195</v>
      </c>
      <c r="M72" s="4" t="s">
        <v>195</v>
      </c>
      <c r="N72" s="4" t="s">
        <v>196</v>
      </c>
      <c r="O72" s="2"/>
    </row>
    <row r="73" customFormat="false" ht="15" hidden="false" customHeight="false" outlineLevel="0" collapsed="false">
      <c r="A73" s="5" t="str">
        <f aca="false">IFERROR(INDEX(Roster!$A$3:$A$148,MATCH(71,Roster!$E$3:$E$148,0)),"")</f>
        <v>S-146</v>
      </c>
      <c r="B73" s="5" t="n">
        <f aca="false">IFERROR(INDEX(Roster!$B$3:$B$148,MATCH(71,Roster!$E$3:$E$148,0)),"")</f>
        <v>8</v>
      </c>
      <c r="C73" s="5" t="str">
        <f aca="false">IF(A73="","",IF(ROW()-3&lt;$F$1,"Group A",IF(ROW()-3&lt;2*$F$1,"Group B","Group C")))</f>
        <v>Group C</v>
      </c>
      <c r="D73" s="4" t="s">
        <v>192</v>
      </c>
      <c r="E73" s="4" t="n">
        <v>606</v>
      </c>
      <c r="F73" s="4" t="s">
        <v>200</v>
      </c>
      <c r="G73" s="9" t="str">
        <f aca="false">IF(F73="","",IF(B73-IF(F73="Grade K",0,VALUE(SUBSTITUTE(F73,"Grade ","")))&lt;=0,"On/above grade",IF(B73-IF(F73="Grade K",0,VALUE(SUBSTITUTE(F73,"Grade ","")))=1,"1 grade below",IF(B73-IF(F73="Grade K",0,VALUE(SUBSTITUTE(F73,"Grade ","")))=2,"2 grades below","3+ grades below"))))</f>
        <v>1 grade below</v>
      </c>
      <c r="H73" s="4" t="s">
        <v>192</v>
      </c>
      <c r="I73" s="4" t="n">
        <v>654</v>
      </c>
      <c r="J73" s="4" t="s">
        <v>193</v>
      </c>
      <c r="K73" s="9" t="str">
        <f aca="false">IF(J73="","",IF(B73-IF(J73="Grade K",0,VALUE(SUBSTITUTE(J73,"Grade ","")))&lt;=0,"On/above grade",IF(B73-IF(J73="Grade K",0,VALUE(SUBSTITUTE(J73,"Grade ","")))=1,"1 grade below",IF(B73-IF(J73="Grade K",0,VALUE(SUBSTITUTE(J73,"Grade ","")))=2,"2 grades below","3+ grades below"))))</f>
        <v>On/above grade</v>
      </c>
      <c r="L73" s="4" t="s">
        <v>196</v>
      </c>
      <c r="M73" s="4" t="s">
        <v>196</v>
      </c>
      <c r="N73" s="4" t="s">
        <v>196</v>
      </c>
      <c r="O73" s="2"/>
    </row>
    <row r="74" customFormat="false" ht="15" hidden="false" customHeight="false" outlineLevel="0" collapsed="false">
      <c r="A74" s="5" t="str">
        <f aca="false">IFERROR(INDEX(Roster!$A$3:$A$148,MATCH(72,Roster!$E$3:$E$148,0)),"")</f>
        <v/>
      </c>
      <c r="B74" s="5" t="str">
        <f aca="false">IFERROR(INDEX(Roster!$B$3:$B$148,MATCH(72,Roster!$E$3:$E$148,0)),"")</f>
        <v/>
      </c>
      <c r="C74" s="5" t="str">
        <f aca="false">IF(A74="","",IF(ROW()-3&lt;$F$1,"Group A",IF(ROW()-3&lt;2*$F$1,"Group B","Group C")))</f>
        <v/>
      </c>
      <c r="D74" s="2"/>
      <c r="E74" s="2"/>
      <c r="F74" s="2"/>
      <c r="G74" s="9" t="str">
        <f aca="false">IF(F74="","",IF(B74-IF(F74="Grade K",0,VALUE(SUBSTITUTE(F74,"Grade ","")))&lt;=0,"On/above grade",IF(B74-IF(F74="Grade K",0,VALUE(SUBSTITUTE(F74,"Grade ","")))=1,"1 grade below",IF(B74-IF(F74="Grade K",0,VALUE(SUBSTITUTE(F74,"Grade ","")))=2,"2 grades below","3+ grades below"))))</f>
        <v/>
      </c>
      <c r="H74" s="2"/>
      <c r="I74" s="2"/>
      <c r="J74" s="2"/>
      <c r="K74" s="9" t="str">
        <f aca="false">IF(J74="","",IF(B74-IF(J74="Grade K",0,VALUE(SUBSTITUTE(J74,"Grade ","")))&lt;=0,"On/above grade",IF(B74-IF(J74="Grade K",0,VALUE(SUBSTITUTE(J74,"Grade ","")))=1,"1 grade below",IF(B74-IF(J74="Grade K",0,VALUE(SUBSTITUTE(J74,"Grade ","")))=2,"2 grades below","3+ grades below"))))</f>
        <v/>
      </c>
      <c r="L74" s="2"/>
      <c r="M74" s="2"/>
      <c r="N74" s="2"/>
      <c r="O74" s="2"/>
    </row>
    <row r="75" customFormat="false" ht="15" hidden="false" customHeight="false" outlineLevel="0" collapsed="false">
      <c r="A75" s="5" t="str">
        <f aca="false">IFERROR(INDEX(Roster!$A$3:$A$148,MATCH(73,Roster!$E$3:$E$148,0)),"")</f>
        <v/>
      </c>
      <c r="B75" s="5" t="str">
        <f aca="false">IFERROR(INDEX(Roster!$B$3:$B$148,MATCH(73,Roster!$E$3:$E$148,0)),"")</f>
        <v/>
      </c>
      <c r="C75" s="5" t="str">
        <f aca="false">IF(A75="","",IF(ROW()-3&lt;$F$1,"Group A",IF(ROW()-3&lt;2*$F$1,"Group B","Group C")))</f>
        <v/>
      </c>
      <c r="D75" s="2"/>
      <c r="E75" s="2"/>
      <c r="F75" s="2"/>
      <c r="G75" s="9" t="str">
        <f aca="false">IF(F75="","",IF(B75-IF(F75="Grade K",0,VALUE(SUBSTITUTE(F75,"Grade ","")))&lt;=0,"On/above grade",IF(B75-IF(F75="Grade K",0,VALUE(SUBSTITUTE(F75,"Grade ","")))=1,"1 grade below",IF(B75-IF(F75="Grade K",0,VALUE(SUBSTITUTE(F75,"Grade ","")))=2,"2 grades below","3+ grades below"))))</f>
        <v/>
      </c>
      <c r="H75" s="2"/>
      <c r="I75" s="2"/>
      <c r="J75" s="2"/>
      <c r="K75" s="9" t="str">
        <f aca="false">IF(J75="","",IF(B75-IF(J75="Grade K",0,VALUE(SUBSTITUTE(J75,"Grade ","")))&lt;=0,"On/above grade",IF(B75-IF(J75="Grade K",0,VALUE(SUBSTITUTE(J75,"Grade ","")))=1,"1 grade below",IF(B75-IF(J75="Grade K",0,VALUE(SUBSTITUTE(J75,"Grade ","")))=2,"2 grades below","3+ grades below"))))</f>
        <v/>
      </c>
      <c r="L75" s="2"/>
      <c r="M75" s="2"/>
      <c r="N75" s="2"/>
      <c r="O75" s="2"/>
    </row>
    <row r="76" customFormat="false" ht="15" hidden="false" customHeight="false" outlineLevel="0" collapsed="false">
      <c r="A76" s="5" t="str">
        <f aca="false">IFERROR(INDEX(Roster!$A$3:$A$148,MATCH(74,Roster!$E$3:$E$148,0)),"")</f>
        <v/>
      </c>
      <c r="B76" s="5" t="str">
        <f aca="false">IFERROR(INDEX(Roster!$B$3:$B$148,MATCH(74,Roster!$E$3:$E$148,0)),"")</f>
        <v/>
      </c>
      <c r="C76" s="5" t="str">
        <f aca="false">IF(A76="","",IF(ROW()-3&lt;$F$1,"Group A",IF(ROW()-3&lt;2*$F$1,"Group B","Group C")))</f>
        <v/>
      </c>
      <c r="D76" s="2"/>
      <c r="E76" s="2"/>
      <c r="F76" s="2"/>
      <c r="G76" s="9" t="str">
        <f aca="false">IF(F76="","",IF(B76-IF(F76="Grade K",0,VALUE(SUBSTITUTE(F76,"Grade ","")))&lt;=0,"On/above grade",IF(B76-IF(F76="Grade K",0,VALUE(SUBSTITUTE(F76,"Grade ","")))=1,"1 grade below",IF(B76-IF(F76="Grade K",0,VALUE(SUBSTITUTE(F76,"Grade ","")))=2,"2 grades below","3+ grades below"))))</f>
        <v/>
      </c>
      <c r="H76" s="2"/>
      <c r="I76" s="2"/>
      <c r="J76" s="2"/>
      <c r="K76" s="9" t="str">
        <f aca="false">IF(J76="","",IF(B76-IF(J76="Grade K",0,VALUE(SUBSTITUTE(J76,"Grade ","")))&lt;=0,"On/above grade",IF(B76-IF(J76="Grade K",0,VALUE(SUBSTITUTE(J76,"Grade ","")))=1,"1 grade below",IF(B76-IF(J76="Grade K",0,VALUE(SUBSTITUTE(J76,"Grade ","")))=2,"2 grades below","3+ grades below"))))</f>
        <v/>
      </c>
      <c r="L76" s="2"/>
      <c r="M76" s="2"/>
      <c r="N76" s="2"/>
      <c r="O76" s="2"/>
    </row>
    <row r="77" customFormat="false" ht="15" hidden="false" customHeight="false" outlineLevel="0" collapsed="false">
      <c r="A77" s="5" t="str">
        <f aca="false">IFERROR(INDEX(Roster!$A$3:$A$148,MATCH(75,Roster!$E$3:$E$148,0)),"")</f>
        <v/>
      </c>
      <c r="B77" s="5" t="str">
        <f aca="false">IFERROR(INDEX(Roster!$B$3:$B$148,MATCH(75,Roster!$E$3:$E$148,0)),"")</f>
        <v/>
      </c>
      <c r="C77" s="5" t="str">
        <f aca="false">IF(A77="","",IF(ROW()-3&lt;$F$1,"Group A",IF(ROW()-3&lt;2*$F$1,"Group B","Group C")))</f>
        <v/>
      </c>
      <c r="D77" s="2"/>
      <c r="E77" s="2"/>
      <c r="F77" s="2"/>
      <c r="G77" s="9" t="str">
        <f aca="false">IF(F77="","",IF(B77-IF(F77="Grade K",0,VALUE(SUBSTITUTE(F77,"Grade ","")))&lt;=0,"On/above grade",IF(B77-IF(F77="Grade K",0,VALUE(SUBSTITUTE(F77,"Grade ","")))=1,"1 grade below",IF(B77-IF(F77="Grade K",0,VALUE(SUBSTITUTE(F77,"Grade ","")))=2,"2 grades below","3+ grades below"))))</f>
        <v/>
      </c>
      <c r="H77" s="2"/>
      <c r="I77" s="2"/>
      <c r="J77" s="2"/>
      <c r="K77" s="9" t="str">
        <f aca="false">IF(J77="","",IF(B77-IF(J77="Grade K",0,VALUE(SUBSTITUTE(J77,"Grade ","")))&lt;=0,"On/above grade",IF(B77-IF(J77="Grade K",0,VALUE(SUBSTITUTE(J77,"Grade ","")))=1,"1 grade below",IF(B77-IF(J77="Grade K",0,VALUE(SUBSTITUTE(J77,"Grade ","")))=2,"2 grades below","3+ grades below"))))</f>
        <v/>
      </c>
      <c r="L77" s="2"/>
      <c r="M77" s="2"/>
      <c r="N77" s="2"/>
      <c r="O77" s="2"/>
    </row>
    <row r="78" customFormat="false" ht="15" hidden="false" customHeight="false" outlineLevel="0" collapsed="false">
      <c r="A78" s="5" t="str">
        <f aca="false">IFERROR(INDEX(Roster!$A$3:$A$148,MATCH(76,Roster!$E$3:$E$148,0)),"")</f>
        <v/>
      </c>
      <c r="B78" s="5" t="str">
        <f aca="false">IFERROR(INDEX(Roster!$B$3:$B$148,MATCH(76,Roster!$E$3:$E$148,0)),"")</f>
        <v/>
      </c>
      <c r="C78" s="5" t="str">
        <f aca="false">IF(A78="","",IF(ROW()-3&lt;$F$1,"Group A",IF(ROW()-3&lt;2*$F$1,"Group B","Group C")))</f>
        <v/>
      </c>
      <c r="D78" s="2"/>
      <c r="E78" s="2"/>
      <c r="F78" s="2"/>
      <c r="G78" s="9" t="str">
        <f aca="false">IF(F78="","",IF(B78-IF(F78="Grade K",0,VALUE(SUBSTITUTE(F78,"Grade ","")))&lt;=0,"On/above grade",IF(B78-IF(F78="Grade K",0,VALUE(SUBSTITUTE(F78,"Grade ","")))=1,"1 grade below",IF(B78-IF(F78="Grade K",0,VALUE(SUBSTITUTE(F78,"Grade ","")))=2,"2 grades below","3+ grades below"))))</f>
        <v/>
      </c>
      <c r="H78" s="2"/>
      <c r="I78" s="2"/>
      <c r="J78" s="2"/>
      <c r="K78" s="9" t="str">
        <f aca="false">IF(J78="","",IF(B78-IF(J78="Grade K",0,VALUE(SUBSTITUTE(J78,"Grade ","")))&lt;=0,"On/above grade",IF(B78-IF(J78="Grade K",0,VALUE(SUBSTITUTE(J78,"Grade ","")))=1,"1 grade below",IF(B78-IF(J78="Grade K",0,VALUE(SUBSTITUTE(J78,"Grade ","")))=2,"2 grades below","3+ grades below"))))</f>
        <v/>
      </c>
      <c r="L78" s="2"/>
      <c r="M78" s="2"/>
      <c r="N78" s="2"/>
      <c r="O78" s="2"/>
    </row>
    <row r="79" customFormat="false" ht="15" hidden="false" customHeight="false" outlineLevel="0" collapsed="false">
      <c r="A79" s="5" t="str">
        <f aca="false">IFERROR(INDEX(Roster!$A$3:$A$148,MATCH(77,Roster!$E$3:$E$148,0)),"")</f>
        <v/>
      </c>
      <c r="B79" s="5" t="str">
        <f aca="false">IFERROR(INDEX(Roster!$B$3:$B$148,MATCH(77,Roster!$E$3:$E$148,0)),"")</f>
        <v/>
      </c>
      <c r="C79" s="5" t="str">
        <f aca="false">IF(A79="","",IF(ROW()-3&lt;$F$1,"Group A",IF(ROW()-3&lt;2*$F$1,"Group B","Group C")))</f>
        <v/>
      </c>
      <c r="D79" s="2"/>
      <c r="E79" s="2"/>
      <c r="F79" s="2"/>
      <c r="G79" s="9" t="str">
        <f aca="false">IF(F79="","",IF(B79-IF(F79="Grade K",0,VALUE(SUBSTITUTE(F79,"Grade ","")))&lt;=0,"On/above grade",IF(B79-IF(F79="Grade K",0,VALUE(SUBSTITUTE(F79,"Grade ","")))=1,"1 grade below",IF(B79-IF(F79="Grade K",0,VALUE(SUBSTITUTE(F79,"Grade ","")))=2,"2 grades below","3+ grades below"))))</f>
        <v/>
      </c>
      <c r="H79" s="2"/>
      <c r="I79" s="2"/>
      <c r="J79" s="2"/>
      <c r="K79" s="9" t="str">
        <f aca="false">IF(J79="","",IF(B79-IF(J79="Grade K",0,VALUE(SUBSTITUTE(J79,"Grade ","")))&lt;=0,"On/above grade",IF(B79-IF(J79="Grade K",0,VALUE(SUBSTITUTE(J79,"Grade ","")))=1,"1 grade below",IF(B79-IF(J79="Grade K",0,VALUE(SUBSTITUTE(J79,"Grade ","")))=2,"2 grades below","3+ grades below"))))</f>
        <v/>
      </c>
      <c r="L79" s="2"/>
      <c r="M79" s="2"/>
      <c r="N79" s="2"/>
      <c r="O79" s="2"/>
    </row>
    <row r="80" customFormat="false" ht="15" hidden="false" customHeight="false" outlineLevel="0" collapsed="false">
      <c r="A80" s="5" t="str">
        <f aca="false">IFERROR(INDEX(Roster!$A$3:$A$148,MATCH(78,Roster!$E$3:$E$148,0)),"")</f>
        <v/>
      </c>
      <c r="B80" s="5" t="str">
        <f aca="false">IFERROR(INDEX(Roster!$B$3:$B$148,MATCH(78,Roster!$E$3:$E$148,0)),"")</f>
        <v/>
      </c>
      <c r="C80" s="5" t="str">
        <f aca="false">IF(A80="","",IF(ROW()-3&lt;$F$1,"Group A",IF(ROW()-3&lt;2*$F$1,"Group B","Group C")))</f>
        <v/>
      </c>
      <c r="D80" s="2"/>
      <c r="E80" s="2"/>
      <c r="F80" s="2"/>
      <c r="G80" s="9" t="str">
        <f aca="false">IF(F80="","",IF(B80-IF(F80="Grade K",0,VALUE(SUBSTITUTE(F80,"Grade ","")))&lt;=0,"On/above grade",IF(B80-IF(F80="Grade K",0,VALUE(SUBSTITUTE(F80,"Grade ","")))=1,"1 grade below",IF(B80-IF(F80="Grade K",0,VALUE(SUBSTITUTE(F80,"Grade ","")))=2,"2 grades below","3+ grades below"))))</f>
        <v/>
      </c>
      <c r="H80" s="2"/>
      <c r="I80" s="2"/>
      <c r="J80" s="2"/>
      <c r="K80" s="9" t="str">
        <f aca="false">IF(J80="","",IF(B80-IF(J80="Grade K",0,VALUE(SUBSTITUTE(J80,"Grade ","")))&lt;=0,"On/above grade",IF(B80-IF(J80="Grade K",0,VALUE(SUBSTITUTE(J80,"Grade ","")))=1,"1 grade below",IF(B80-IF(J80="Grade K",0,VALUE(SUBSTITUTE(J80,"Grade ","")))=2,"2 grades below","3+ grades below"))))</f>
        <v/>
      </c>
      <c r="L80" s="2"/>
      <c r="M80" s="2"/>
      <c r="N80" s="2"/>
      <c r="O80" s="2"/>
    </row>
    <row r="81" customFormat="false" ht="15" hidden="false" customHeight="false" outlineLevel="0" collapsed="false">
      <c r="A81" s="5" t="str">
        <f aca="false">IFERROR(INDEX(Roster!$A$3:$A$148,MATCH(79,Roster!$E$3:$E$148,0)),"")</f>
        <v/>
      </c>
      <c r="B81" s="5" t="str">
        <f aca="false">IFERROR(INDEX(Roster!$B$3:$B$148,MATCH(79,Roster!$E$3:$E$148,0)),"")</f>
        <v/>
      </c>
      <c r="C81" s="5" t="str">
        <f aca="false">IF(A81="","",IF(ROW()-3&lt;$F$1,"Group A",IF(ROW()-3&lt;2*$F$1,"Group B","Group C")))</f>
        <v/>
      </c>
      <c r="D81" s="2"/>
      <c r="E81" s="2"/>
      <c r="F81" s="2"/>
      <c r="G81" s="9" t="str">
        <f aca="false">IF(F81="","",IF(B81-IF(F81="Grade K",0,VALUE(SUBSTITUTE(F81,"Grade ","")))&lt;=0,"On/above grade",IF(B81-IF(F81="Grade K",0,VALUE(SUBSTITUTE(F81,"Grade ","")))=1,"1 grade below",IF(B81-IF(F81="Grade K",0,VALUE(SUBSTITUTE(F81,"Grade ","")))=2,"2 grades below","3+ grades below"))))</f>
        <v/>
      </c>
      <c r="H81" s="2"/>
      <c r="I81" s="2"/>
      <c r="J81" s="2"/>
      <c r="K81" s="9" t="str">
        <f aca="false">IF(J81="","",IF(B81-IF(J81="Grade K",0,VALUE(SUBSTITUTE(J81,"Grade ","")))&lt;=0,"On/above grade",IF(B81-IF(J81="Grade K",0,VALUE(SUBSTITUTE(J81,"Grade ","")))=1,"1 grade below",IF(B81-IF(J81="Grade K",0,VALUE(SUBSTITUTE(J81,"Grade ","")))=2,"2 grades below","3+ grades below"))))</f>
        <v/>
      </c>
      <c r="L81" s="2"/>
      <c r="M81" s="2"/>
      <c r="N81" s="2"/>
      <c r="O81" s="2"/>
    </row>
    <row r="82" customFormat="false" ht="15" hidden="false" customHeight="false" outlineLevel="0" collapsed="false">
      <c r="A82" s="5" t="str">
        <f aca="false">IFERROR(INDEX(Roster!$A$3:$A$148,MATCH(80,Roster!$E$3:$E$148,0)),"")</f>
        <v/>
      </c>
      <c r="B82" s="5" t="str">
        <f aca="false">IFERROR(INDEX(Roster!$B$3:$B$148,MATCH(80,Roster!$E$3:$E$148,0)),"")</f>
        <v/>
      </c>
      <c r="C82" s="5" t="str">
        <f aca="false">IF(A82="","",IF(ROW()-3&lt;$F$1,"Group A",IF(ROW()-3&lt;2*$F$1,"Group B","Group C")))</f>
        <v/>
      </c>
      <c r="D82" s="2"/>
      <c r="E82" s="2"/>
      <c r="F82" s="2"/>
      <c r="G82" s="9" t="str">
        <f aca="false">IF(F82="","",IF(B82-IF(F82="Grade K",0,VALUE(SUBSTITUTE(F82,"Grade ","")))&lt;=0,"On/above grade",IF(B82-IF(F82="Grade K",0,VALUE(SUBSTITUTE(F82,"Grade ","")))=1,"1 grade below",IF(B82-IF(F82="Grade K",0,VALUE(SUBSTITUTE(F82,"Grade ","")))=2,"2 grades below","3+ grades below"))))</f>
        <v/>
      </c>
      <c r="H82" s="2"/>
      <c r="I82" s="2"/>
      <c r="J82" s="2"/>
      <c r="K82" s="9" t="str">
        <f aca="false">IF(J82="","",IF(B82-IF(J82="Grade K",0,VALUE(SUBSTITUTE(J82,"Grade ","")))&lt;=0,"On/above grade",IF(B82-IF(J82="Grade K",0,VALUE(SUBSTITUTE(J82,"Grade ","")))=1,"1 grade below",IF(B82-IF(J82="Grade K",0,VALUE(SUBSTITUTE(J82,"Grade ","")))=2,"2 grades below","3+ grades below"))))</f>
        <v/>
      </c>
      <c r="L82" s="2"/>
      <c r="M82" s="2"/>
      <c r="N82" s="2"/>
      <c r="O82" s="2"/>
    </row>
    <row r="83" customFormat="false" ht="15" hidden="false" customHeight="false" outlineLevel="0" collapsed="false">
      <c r="A83" s="5" t="str">
        <f aca="false">IFERROR(INDEX(Roster!$A$3:$A$148,MATCH(81,Roster!$E$3:$E$148,0)),"")</f>
        <v/>
      </c>
      <c r="B83" s="5" t="str">
        <f aca="false">IFERROR(INDEX(Roster!$B$3:$B$148,MATCH(81,Roster!$E$3:$E$148,0)),"")</f>
        <v/>
      </c>
      <c r="C83" s="5" t="str">
        <f aca="false">IF(A83="","",IF(ROW()-3&lt;$F$1,"Group A",IF(ROW()-3&lt;2*$F$1,"Group B","Group C")))</f>
        <v/>
      </c>
      <c r="D83" s="2"/>
      <c r="E83" s="2"/>
      <c r="F83" s="2"/>
      <c r="G83" s="9" t="str">
        <f aca="false">IF(F83="","",IF(B83-IF(F83="Grade K",0,VALUE(SUBSTITUTE(F83,"Grade ","")))&lt;=0,"On/above grade",IF(B83-IF(F83="Grade K",0,VALUE(SUBSTITUTE(F83,"Grade ","")))=1,"1 grade below",IF(B83-IF(F83="Grade K",0,VALUE(SUBSTITUTE(F83,"Grade ","")))=2,"2 grades below","3+ grades below"))))</f>
        <v/>
      </c>
      <c r="H83" s="2"/>
      <c r="I83" s="2"/>
      <c r="J83" s="2"/>
      <c r="K83" s="9" t="str">
        <f aca="false">IF(J83="","",IF(B83-IF(J83="Grade K",0,VALUE(SUBSTITUTE(J83,"Grade ","")))&lt;=0,"On/above grade",IF(B83-IF(J83="Grade K",0,VALUE(SUBSTITUTE(J83,"Grade ","")))=1,"1 grade below",IF(B83-IF(J83="Grade K",0,VALUE(SUBSTITUTE(J83,"Grade ","")))=2,"2 grades below","3+ grades below"))))</f>
        <v/>
      </c>
      <c r="L83" s="2"/>
      <c r="M83" s="2"/>
      <c r="N83" s="2"/>
      <c r="O83" s="2"/>
    </row>
  </sheetData>
  <conditionalFormatting sqref="G3:G83">
    <cfRule type="expression" priority="2" aboveAverage="0" equalAverage="0" bottom="0" percent="0" rank="0" text="" dxfId="0">
      <formula>G3="On/above grade"</formula>
    </cfRule>
    <cfRule type="expression" priority="3" aboveAverage="0" equalAverage="0" bottom="0" percent="0" rank="0" text="" dxfId="1">
      <formula>G3="1 grade below"</formula>
    </cfRule>
    <cfRule type="expression" priority="4" aboveAverage="0" equalAverage="0" bottom="0" percent="0" rank="0" text="" dxfId="2">
      <formula>OR(G3="2 grades below",G3="3+ grades below")</formula>
    </cfRule>
  </conditionalFormatting>
  <conditionalFormatting sqref="K3:K83">
    <cfRule type="expression" priority="5" aboveAverage="0" equalAverage="0" bottom="0" percent="0" rank="0" text="" dxfId="0">
      <formula>K3="On/above grade"</formula>
    </cfRule>
    <cfRule type="expression" priority="6" aboveAverage="0" equalAverage="0" bottom="0" percent="0" rank="0" text="" dxfId="1">
      <formula>K3="1 grade below"</formula>
    </cfRule>
    <cfRule type="expression" priority="7" aboveAverage="0" equalAverage="0" bottom="0" percent="0" rank="0" text="" dxfId="2">
      <formula>OR(K3="2 grades below",K3="3+ grades below")</formula>
    </cfRule>
  </conditionalFormatting>
  <conditionalFormatting sqref="D3:D83">
    <cfRule type="expression" priority="8" aboveAverage="0" equalAverage="0" bottom="0" percent="0" rank="0" text="" dxfId="3">
      <formula>D3="Absent"</formula>
    </cfRule>
  </conditionalFormatting>
  <conditionalFormatting sqref="H3:H83">
    <cfRule type="expression" priority="9" aboveAverage="0" equalAverage="0" bottom="0" percent="0" rank="0" text="" dxfId="3">
      <formula>H3="Absent"</formula>
    </cfRule>
  </conditionalFormatting>
  <dataValidations count="5">
    <dataValidation allowBlank="false" errorStyle="stop" operator="between" showDropDown="false" showErrorMessage="false" showInputMessage="false" sqref="D3:D83" type="list">
      <formula1>"Started,Completed,Absent"</formula1>
      <formula2>0</formula2>
    </dataValidation>
    <dataValidation allowBlank="false" errorStyle="stop" operator="between" showDropDown="false" showErrorMessage="false" showInputMessage="false" sqref="H3:H83" type="list">
      <formula1>"Started,Completed,Absent"</formula1>
      <formula2>0</formula2>
    </dataValidation>
    <dataValidation allowBlank="false" errorStyle="stop" operator="between" showDropDown="false" showErrorMessage="false" showInputMessage="false" sqref="L3:N83" type="list">
      <formula1>"Present,Absent,Completed All"</formula1>
      <formula2>0</formula2>
    </dataValidation>
    <dataValidation allowBlank="false" errorStyle="stop" operator="between" showDropDown="false" showErrorMessage="false" showInputMessage="false" sqref="F3:F83" type="list">
      <formula1>"Grade K,Grade 1,Grade 2,Grade 3,Grade 4,Grade 5,Grade 6,Grade 7,Grade 8"</formula1>
      <formula2>0</formula2>
    </dataValidation>
    <dataValidation allowBlank="false" errorStyle="stop" operator="between" showDropDown="false" showErrorMessage="false" showInputMessage="false" sqref="J3:J83" type="list">
      <formula1>"Grade K,Grade 1,Grade 2,Grade 3,Grade 4,Grade 5,Grade 6,Grade 7,Grade 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2026-10-11T23:16:39Z</dcterms:created>
  <dc:creator>openpyxl</dc:creator>
  <dc:description/>
  <dc:language>en-US</dc:language>
  <cp:lastModifiedBy/>
  <dcterms:modified xsi:type="dcterms:W3CDTF">2026-10-11T23:16:39Z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